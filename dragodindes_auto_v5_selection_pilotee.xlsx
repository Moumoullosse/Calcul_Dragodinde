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Selection_auto" sheetId="2" state="visible" r:id="rId2"/>
    <sheet xmlns:r="http://schemas.openxmlformats.org/officeDocument/2006/relationships" name="Tableau_final" sheetId="3" state="visible" r:id="rId3"/>
    <sheet xmlns:r="http://schemas.openxmlformats.org/officeDocument/2006/relationships" name="Recap_creation" sheetId="4" state="visible" r:id="rId4"/>
    <sheet xmlns:r="http://schemas.openxmlformats.org/officeDocument/2006/relationships" name="Controle" sheetId="5" state="visible" r:id="rId5"/>
    <sheet xmlns:r="http://schemas.openxmlformats.org/officeDocument/2006/relationships" name="Ratios_G10" sheetId="6" state="visible" r:id="rId6"/>
    <sheet xmlns:r="http://schemas.openxmlformats.org/officeDocument/2006/relationships" name="Plan_optim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  <font>
      <color rgb="00000000"/>
    </font>
    <font>
      <b val="1"/>
      <color rgb="00000000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2FF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B6D7A8"/>
      </patternFill>
    </fill>
    <fill>
      <patternFill patternType="solid">
        <fgColor rgb="00F3E5F5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1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0" fillId="12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0" fillId="1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9" borderId="1" pivotButton="0" quotePrefix="0" xfId="0"/>
    <xf numFmtId="0" fontId="3" fillId="9" borderId="0" pivotButton="0" quotePrefix="0" xfId="0"/>
    <xf numFmtId="0" fontId="1" fillId="2" borderId="1" pivotButton="0" quotePrefix="0" xfId="0"/>
    <xf numFmtId="0" fontId="3" fillId="5" borderId="1" pivotButton="0" quotePrefix="0" xfId="0"/>
    <xf numFmtId="0" fontId="0" fillId="1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7" max="7"/>
    <col width="20" customWidth="1" min="8" max="8"/>
  </cols>
  <sheetData>
    <row r="1">
      <c r="A1" s="1" t="inlineStr">
        <is>
          <t>Dragodinde</t>
        </is>
      </c>
      <c r="B1" s="1" t="inlineStr">
        <is>
          <t>Génération</t>
        </is>
      </c>
      <c r="C1" s="1" t="inlineStr">
        <is>
          <t>Mâles stock</t>
        </is>
      </c>
      <c r="D1" s="1" t="inlineStr">
        <is>
          <t>Femelles stock</t>
        </is>
      </c>
      <c r="E1" s="1" t="inlineStr">
        <is>
          <t>Couples stock</t>
        </is>
      </c>
      <c r="G1" s="2" t="inlineStr">
        <is>
          <t>Capacité session (individus)</t>
        </is>
      </c>
      <c r="H1" s="2" t="inlineStr">
        <is>
          <t>Capacité session (paires)</t>
        </is>
      </c>
    </row>
    <row r="2">
      <c r="A2" s="3" t="inlineStr">
        <is>
          <t>Amande</t>
        </is>
      </c>
      <c r="B2" s="4" t="n">
        <v>1</v>
      </c>
      <c r="C2" s="5" t="n">
        <v>0</v>
      </c>
      <c r="D2" s="5" t="n">
        <v>0</v>
      </c>
      <c r="E2" s="6">
        <f>MIN(C2,D2)</f>
        <v/>
      </c>
      <c r="G2" s="7" t="n">
        <v>250</v>
      </c>
      <c r="H2" s="7">
        <f>INT(G2/2)</f>
        <v/>
      </c>
    </row>
    <row r="3">
      <c r="A3" s="3" t="inlineStr">
        <is>
          <t>Doré</t>
        </is>
      </c>
      <c r="B3" s="4" t="n">
        <v>1</v>
      </c>
      <c r="C3" s="5" t="n">
        <v>0</v>
      </c>
      <c r="D3" s="5" t="n">
        <v>0</v>
      </c>
      <c r="E3" s="6">
        <f>MIN(C3,D3)</f>
        <v/>
      </c>
    </row>
    <row r="4">
      <c r="A4" s="3" t="inlineStr">
        <is>
          <t>Rousse</t>
        </is>
      </c>
      <c r="B4" s="4" t="n">
        <v>1</v>
      </c>
      <c r="C4" s="5" t="n">
        <v>0</v>
      </c>
      <c r="D4" s="5" t="n">
        <v>0</v>
      </c>
      <c r="E4" s="6">
        <f>MIN(C4,D4)</f>
        <v/>
      </c>
    </row>
    <row r="5">
      <c r="A5" s="8" t="inlineStr">
        <is>
          <t>Amande-Rousse</t>
        </is>
      </c>
      <c r="B5" s="9" t="n">
        <v>2</v>
      </c>
      <c r="C5" s="5" t="n">
        <v>0</v>
      </c>
      <c r="D5" s="5" t="n">
        <v>0</v>
      </c>
      <c r="E5" s="6">
        <f>MIN(C5,D5)</f>
        <v/>
      </c>
    </row>
    <row r="6">
      <c r="A6" s="8" t="inlineStr">
        <is>
          <t>Amande-Doré</t>
        </is>
      </c>
      <c r="B6" s="9" t="n">
        <v>2</v>
      </c>
      <c r="C6" s="5" t="n">
        <v>0</v>
      </c>
      <c r="D6" s="5" t="n">
        <v>0</v>
      </c>
      <c r="E6" s="6">
        <f>MIN(C6,D6)</f>
        <v/>
      </c>
    </row>
    <row r="7">
      <c r="A7" s="8" t="inlineStr">
        <is>
          <t>Doré-Rousse</t>
        </is>
      </c>
      <c r="B7" s="9" t="n">
        <v>2</v>
      </c>
      <c r="C7" s="5" t="n">
        <v>0</v>
      </c>
      <c r="D7" s="5" t="n">
        <v>0</v>
      </c>
      <c r="E7" s="6">
        <f>MIN(C7,D7)</f>
        <v/>
      </c>
    </row>
    <row r="8">
      <c r="A8" s="10" t="inlineStr">
        <is>
          <t>Ebène</t>
        </is>
      </c>
      <c r="B8" s="11" t="n">
        <v>3</v>
      </c>
      <c r="C8" s="5" t="n">
        <v>0</v>
      </c>
      <c r="D8" s="5" t="n">
        <v>0</v>
      </c>
      <c r="E8" s="6">
        <f>MIN(C8,D8)</f>
        <v/>
      </c>
    </row>
    <row r="9">
      <c r="A9" s="10" t="inlineStr">
        <is>
          <t>Indigo</t>
        </is>
      </c>
      <c r="B9" s="11" t="n">
        <v>3</v>
      </c>
      <c r="C9" s="5" t="n">
        <v>0</v>
      </c>
      <c r="D9" s="5" t="n">
        <v>0</v>
      </c>
      <c r="E9" s="6">
        <f>MIN(C9,D9)</f>
        <v/>
      </c>
    </row>
    <row r="10">
      <c r="A10" s="12" t="inlineStr">
        <is>
          <t>Ebène-Indigo</t>
        </is>
      </c>
      <c r="B10" s="13" t="n">
        <v>4</v>
      </c>
      <c r="C10" s="5" t="n">
        <v>0</v>
      </c>
      <c r="D10" s="5" t="n">
        <v>0</v>
      </c>
      <c r="E10" s="6">
        <f>MIN(C10,D10)</f>
        <v/>
      </c>
    </row>
    <row r="11">
      <c r="A11" s="14" t="inlineStr">
        <is>
          <t>Pourpre</t>
        </is>
      </c>
      <c r="B11" s="15" t="n">
        <v>5</v>
      </c>
      <c r="C11" s="5" t="n">
        <v>0</v>
      </c>
      <c r="D11" s="5" t="n">
        <v>0</v>
      </c>
      <c r="E11" s="6">
        <f>MIN(C11,D11)</f>
        <v/>
      </c>
    </row>
    <row r="12">
      <c r="A12" s="14" t="inlineStr">
        <is>
          <t>Orchidée</t>
        </is>
      </c>
      <c r="B12" s="15" t="n">
        <v>5</v>
      </c>
      <c r="C12" s="5" t="n">
        <v>0</v>
      </c>
      <c r="D12" s="5" t="n">
        <v>0</v>
      </c>
      <c r="E12" s="6">
        <f>MIN(C12,D12)</f>
        <v/>
      </c>
    </row>
    <row r="13">
      <c r="A13" s="16" t="inlineStr">
        <is>
          <t>Ebène-Orchidée</t>
        </is>
      </c>
      <c r="B13" s="17" t="n">
        <v>6</v>
      </c>
      <c r="C13" s="5" t="n">
        <v>0</v>
      </c>
      <c r="D13" s="5" t="n">
        <v>0</v>
      </c>
      <c r="E13" s="6">
        <f>MIN(C13,D13)</f>
        <v/>
      </c>
    </row>
    <row r="14">
      <c r="A14" s="16" t="inlineStr">
        <is>
          <t>Orchidée-Pourpre</t>
        </is>
      </c>
      <c r="B14" s="17" t="n">
        <v>6</v>
      </c>
      <c r="C14" s="5" t="n">
        <v>0</v>
      </c>
      <c r="D14" s="5" t="n">
        <v>0</v>
      </c>
      <c r="E14" s="6">
        <f>MIN(C14,D14)</f>
        <v/>
      </c>
    </row>
    <row r="15">
      <c r="A15" s="16" t="inlineStr">
        <is>
          <t>Indigo-Pourpre</t>
        </is>
      </c>
      <c r="B15" s="17" t="n">
        <v>6</v>
      </c>
      <c r="C15" s="5" t="n">
        <v>0</v>
      </c>
      <c r="D15" s="5" t="n">
        <v>0</v>
      </c>
      <c r="E15" s="6">
        <f>MIN(C15,D15)</f>
        <v/>
      </c>
    </row>
    <row r="16">
      <c r="A16" s="18" t="inlineStr">
        <is>
          <t>Turquoise</t>
        </is>
      </c>
      <c r="B16" s="19" t="n">
        <v>7</v>
      </c>
      <c r="C16" s="5" t="n">
        <v>0</v>
      </c>
      <c r="D16" s="5" t="n">
        <v>0</v>
      </c>
      <c r="E16" s="6">
        <f>MIN(C16,D16)</f>
        <v/>
      </c>
    </row>
    <row r="17">
      <c r="A17" s="18" t="inlineStr">
        <is>
          <t>Ivoire</t>
        </is>
      </c>
      <c r="B17" s="19" t="n">
        <v>7</v>
      </c>
      <c r="C17" s="5" t="n">
        <v>0</v>
      </c>
      <c r="D17" s="5" t="n">
        <v>0</v>
      </c>
      <c r="E17" s="6">
        <f>MIN(C17,D17)</f>
        <v/>
      </c>
    </row>
    <row r="18">
      <c r="A18" s="20" t="inlineStr">
        <is>
          <t>Ivoire-Turquoise</t>
        </is>
      </c>
      <c r="B18" s="21" t="n">
        <v>8</v>
      </c>
      <c r="C18" s="5" t="n">
        <v>0</v>
      </c>
      <c r="D18" s="5" t="n">
        <v>0</v>
      </c>
      <c r="E18" s="6">
        <f>MIN(C18,D18)</f>
        <v/>
      </c>
    </row>
    <row r="19">
      <c r="A19" s="20" t="inlineStr">
        <is>
          <t>Ivoire-Pourpre</t>
        </is>
      </c>
      <c r="B19" s="21" t="n">
        <v>8</v>
      </c>
      <c r="C19" s="5" t="n">
        <v>0</v>
      </c>
      <c r="D19" s="5" t="n">
        <v>0</v>
      </c>
      <c r="E19" s="6">
        <f>MIN(C19,D19)</f>
        <v/>
      </c>
    </row>
    <row r="20">
      <c r="A20" s="20" t="inlineStr">
        <is>
          <t>Turquoise-Orchidée</t>
        </is>
      </c>
      <c r="B20" s="21" t="n">
        <v>8</v>
      </c>
      <c r="C20" s="5" t="n">
        <v>0</v>
      </c>
      <c r="D20" s="5" t="n">
        <v>0</v>
      </c>
      <c r="E20" s="6">
        <f>MIN(C20,D20)</f>
        <v/>
      </c>
    </row>
    <row r="21">
      <c r="A21" s="22" t="inlineStr">
        <is>
          <t>Prune</t>
        </is>
      </c>
      <c r="B21" s="23" t="n">
        <v>9</v>
      </c>
      <c r="C21" s="5" t="n">
        <v>0</v>
      </c>
      <c r="D21" s="5" t="n">
        <v>0</v>
      </c>
      <c r="E21" s="6">
        <f>MIN(C21,D21)</f>
        <v/>
      </c>
    </row>
    <row r="22">
      <c r="A22" s="22" t="inlineStr">
        <is>
          <t>Emeraude</t>
        </is>
      </c>
      <c r="B22" s="23" t="n">
        <v>9</v>
      </c>
      <c r="C22" s="5" t="n">
        <v>0</v>
      </c>
      <c r="D22" s="5" t="n">
        <v>0</v>
      </c>
      <c r="E22" s="6">
        <f>MIN(C22,D22)</f>
        <v/>
      </c>
    </row>
    <row r="23">
      <c r="A23" s="24" t="inlineStr">
        <is>
          <t>Prune-Emeraude</t>
        </is>
      </c>
      <c r="B23" s="25" t="n">
        <v>10</v>
      </c>
      <c r="C23" s="5" t="n">
        <v>0</v>
      </c>
      <c r="D23" s="5" t="n">
        <v>0</v>
      </c>
      <c r="E23" s="6">
        <f>MIN(C23,D23)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2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16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6" customWidth="1" min="20" max="20"/>
    <col width="18" customWidth="1" min="21" max="21"/>
    <col width="16" customWidth="1" min="22" max="22"/>
  </cols>
  <sheetData>
    <row r="1">
      <c r="A1" s="1" t="inlineStr">
        <is>
          <t>Cible</t>
        </is>
      </c>
      <c r="B1" s="1" t="inlineStr">
        <is>
          <t>Gen</t>
        </is>
      </c>
      <c r="C1" s="1" t="inlineStr">
        <is>
          <t>Parent 1</t>
        </is>
      </c>
      <c r="D1" s="1" t="inlineStr">
        <is>
          <t>Parent 2</t>
        </is>
      </c>
      <c r="E1" s="1" t="inlineStr">
        <is>
          <t>Paires restantes avant</t>
        </is>
      </c>
      <c r="F1" s="1" t="inlineStr">
        <is>
          <t>P1 M restants</t>
        </is>
      </c>
      <c r="G1" s="1" t="inlineStr">
        <is>
          <t>P1 F restantes</t>
        </is>
      </c>
      <c r="H1" s="1" t="inlineStr">
        <is>
          <t>P2 M restants</t>
        </is>
      </c>
      <c r="I1" s="1" t="inlineStr">
        <is>
          <t>P2 F restantes</t>
        </is>
      </c>
      <c r="J1" s="1" t="inlineStr">
        <is>
          <t>Option A (P1F + P2M)</t>
        </is>
      </c>
      <c r="K1" s="1" t="inlineStr">
        <is>
          <t>Option B (P1M + P2F)</t>
        </is>
      </c>
      <c r="L1" s="1" t="inlineStr">
        <is>
          <t>Mode choisi</t>
        </is>
      </c>
      <c r="M1" s="1" t="inlineStr">
        <is>
          <t>Paires créées</t>
        </is>
      </c>
      <c r="N1" s="1" t="inlineStr">
        <is>
          <t>P1 M utilisés</t>
        </is>
      </c>
      <c r="O1" s="1" t="inlineStr">
        <is>
          <t>P1 F utilisées</t>
        </is>
      </c>
      <c r="P1" s="1" t="inlineStr">
        <is>
          <t>P2 M utilisés</t>
        </is>
      </c>
      <c r="Q1" s="1" t="inlineStr">
        <is>
          <t>P2 F utilisées</t>
        </is>
      </c>
      <c r="R1" s="1" t="inlineStr">
        <is>
          <t>Individus utilisés</t>
        </is>
      </c>
      <c r="T1" s="2" t="inlineStr">
        <is>
          <t>Paires planifiées</t>
        </is>
      </c>
      <c r="U1" s="2" t="inlineStr">
        <is>
          <t>Individus planifiés</t>
        </is>
      </c>
      <c r="V1" s="2" t="inlineStr">
        <is>
          <t>Paires G1 à ajouter</t>
        </is>
      </c>
    </row>
    <row r="2">
      <c r="A2" s="24" t="inlineStr">
        <is>
          <t>Prune-Emeraude</t>
        </is>
      </c>
      <c r="B2" s="25" t="n">
        <v>10</v>
      </c>
      <c r="C2" s="26" t="inlineStr">
        <is>
          <t>Prune</t>
        </is>
      </c>
      <c r="D2" s="26" t="inlineStr">
        <is>
          <t>Emeraude</t>
        </is>
      </c>
      <c r="E2" s="27">
        <f>Stock!$H$2</f>
        <v/>
      </c>
      <c r="F2" s="26">
        <f>INDEX(Stock!$C$2:$C$23,MATCH(C2,Stock!$A$2:$A$23,0))</f>
        <v/>
      </c>
      <c r="G2" s="26">
        <f>INDEX(Stock!$D$2:$D$23,MATCH(C2,Stock!$A$2:$A$23,0))</f>
        <v/>
      </c>
      <c r="H2" s="26">
        <f>INDEX(Stock!$C$2:$C$23,MATCH(D2,Stock!$A$2:$A$23,0))</f>
        <v/>
      </c>
      <c r="I2" s="26">
        <f>INDEX(Stock!$D$2:$D$23,MATCH(D2,Stock!$A$2:$A$23,0))</f>
        <v/>
      </c>
      <c r="J2" s="27">
        <f>MAX(0,MIN(E2,G2,H2))</f>
        <v/>
      </c>
      <c r="K2" s="27">
        <f>MAX(0,MIN(E2,F2,I2))</f>
        <v/>
      </c>
      <c r="L2" s="27">
        <f>IF(J2&gt;=K2,"P1F + P2M","P1M + P2F")</f>
        <v/>
      </c>
      <c r="M2" s="27">
        <f>MAX(J2,K2)</f>
        <v/>
      </c>
      <c r="N2" s="11">
        <f>IF(L2="P1M + P2F",M2,0)</f>
        <v/>
      </c>
      <c r="O2" s="11">
        <f>IF(L2="P1F + P2M",M2,0)</f>
        <v/>
      </c>
      <c r="P2" s="11">
        <f>IF(L2="P1F + P2M",M2,0)</f>
        <v/>
      </c>
      <c r="Q2" s="11">
        <f>IF(L2="P1M + P2F",M2,0)</f>
        <v/>
      </c>
      <c r="R2" s="11">
        <f>M2*2</f>
        <v/>
      </c>
      <c r="T2" s="7">
        <f>SUM(M2:M20)</f>
        <v/>
      </c>
      <c r="U2" s="7">
        <f>SUM(R2:R20)</f>
        <v/>
      </c>
      <c r="V2" s="7">
        <f>MAX(0,Stock!$H$2-T2)</f>
        <v/>
      </c>
    </row>
    <row r="3">
      <c r="A3" s="22" t="inlineStr">
        <is>
          <t>Prune</t>
        </is>
      </c>
      <c r="B3" s="23" t="n">
        <v>9</v>
      </c>
      <c r="C3" s="26" t="inlineStr">
        <is>
          <t>Ivoire-Turquoise</t>
        </is>
      </c>
      <c r="D3" s="26" t="inlineStr">
        <is>
          <t>Turquoise-Orchidée</t>
        </is>
      </c>
      <c r="E3" s="27">
        <f>MAX(0,E2-M2)</f>
        <v/>
      </c>
      <c r="F3" s="26">
        <f>INDEX(Stock!$C$2:$C$23,MATCH(C3,Stock!$A$2:$A$23,0))-SUMIF($C$2:$C$2,C3,$N$2:$N$2)-SUMIF($D$2:$D$2,C3,$P$2:$P$2)</f>
        <v/>
      </c>
      <c r="G3" s="26">
        <f>INDEX(Stock!$D$2:$D$23,MATCH(C3,Stock!$A$2:$A$23,0))-SUMIF($C$2:$C$2,C3,$O$2:$O$2)-SUMIF($D$2:$D$2,C3,$Q$2:$Q$2)</f>
        <v/>
      </c>
      <c r="H3" s="26">
        <f>INDEX(Stock!$C$2:$C$23,MATCH(D3,Stock!$A$2:$A$23,0))-SUMIF($C$2:$C$2,D3,$N$2:$N$2)-SUMIF($D$2:$D$2,D3,$P$2:$P$2)</f>
        <v/>
      </c>
      <c r="I3" s="26">
        <f>INDEX(Stock!$D$2:$D$23,MATCH(D3,Stock!$A$2:$A$23,0))-SUMIF($C$2:$C$2,D3,$O$2:$O$2)-SUMIF($D$2:$D$2,D3,$Q$2:$Q$2)</f>
        <v/>
      </c>
      <c r="J3" s="27">
        <f>MAX(0,MIN(E3,G3,H3))</f>
        <v/>
      </c>
      <c r="K3" s="27">
        <f>MAX(0,MIN(E3,F3,I3))</f>
        <v/>
      </c>
      <c r="L3" s="27">
        <f>IF(J3&gt;=K3,"P1F + P2M","P1M + P2F")</f>
        <v/>
      </c>
      <c r="M3" s="27">
        <f>MAX(J3,K3)</f>
        <v/>
      </c>
      <c r="N3" s="11">
        <f>IF(L3="P1M + P2F",M3,0)</f>
        <v/>
      </c>
      <c r="O3" s="11">
        <f>IF(L3="P1F + P2M",M3,0)</f>
        <v/>
      </c>
      <c r="P3" s="11">
        <f>IF(L3="P1F + P2M",M3,0)</f>
        <v/>
      </c>
      <c r="Q3" s="11">
        <f>IF(L3="P1M + P2F",M3,0)</f>
        <v/>
      </c>
      <c r="R3" s="11">
        <f>M3*2</f>
        <v/>
      </c>
    </row>
    <row r="4">
      <c r="A4" s="22" t="inlineStr">
        <is>
          <t>Emeraude</t>
        </is>
      </c>
      <c r="B4" s="23" t="n">
        <v>9</v>
      </c>
      <c r="C4" s="26" t="inlineStr">
        <is>
          <t>Ivoire-Turquoise</t>
        </is>
      </c>
      <c r="D4" s="26" t="inlineStr">
        <is>
          <t>Ivoire-Pourpre</t>
        </is>
      </c>
      <c r="E4" s="27">
        <f>MAX(0,E3-M3)</f>
        <v/>
      </c>
      <c r="F4" s="26">
        <f>INDEX(Stock!$C$2:$C$23,MATCH(C4,Stock!$A$2:$A$23,0))-SUMIF($C$2:$C$3,C4,$N$2:$N$3)-SUMIF($D$2:$D$3,C4,$P$2:$P$3)</f>
        <v/>
      </c>
      <c r="G4" s="26">
        <f>INDEX(Stock!$D$2:$D$23,MATCH(C4,Stock!$A$2:$A$23,0))-SUMIF($C$2:$C$3,C4,$O$2:$O$3)-SUMIF($D$2:$D$3,C4,$Q$2:$Q$3)</f>
        <v/>
      </c>
      <c r="H4" s="26">
        <f>INDEX(Stock!$C$2:$C$23,MATCH(D4,Stock!$A$2:$A$23,0))-SUMIF($C$2:$C$3,D4,$N$2:$N$3)-SUMIF($D$2:$D$3,D4,$P$2:$P$3)</f>
        <v/>
      </c>
      <c r="I4" s="26">
        <f>INDEX(Stock!$D$2:$D$23,MATCH(D4,Stock!$A$2:$A$23,0))-SUMIF($C$2:$C$3,D4,$O$2:$O$3)-SUMIF($D$2:$D$3,D4,$Q$2:$Q$3)</f>
        <v/>
      </c>
      <c r="J4" s="27">
        <f>MAX(0,MIN(E4,G4,H4))</f>
        <v/>
      </c>
      <c r="K4" s="27">
        <f>MAX(0,MIN(E4,F4,I4))</f>
        <v/>
      </c>
      <c r="L4" s="27">
        <f>IF(J4&gt;=K4,"P1F + P2M","P1M + P2F")</f>
        <v/>
      </c>
      <c r="M4" s="27">
        <f>MAX(J4,K4)</f>
        <v/>
      </c>
      <c r="N4" s="11">
        <f>IF(L4="P1M + P2F",M4,0)</f>
        <v/>
      </c>
      <c r="O4" s="11">
        <f>IF(L4="P1F + P2M",M4,0)</f>
        <v/>
      </c>
      <c r="P4" s="11">
        <f>IF(L4="P1F + P2M",M4,0)</f>
        <v/>
      </c>
      <c r="Q4" s="11">
        <f>IF(L4="P1M + P2F",M4,0)</f>
        <v/>
      </c>
      <c r="R4" s="11">
        <f>M4*2</f>
        <v/>
      </c>
    </row>
    <row r="5">
      <c r="A5" s="20" t="inlineStr">
        <is>
          <t>Ivoire-Turquoise</t>
        </is>
      </c>
      <c r="B5" s="21" t="n">
        <v>8</v>
      </c>
      <c r="C5" s="26" t="inlineStr">
        <is>
          <t>Ivoire</t>
        </is>
      </c>
      <c r="D5" s="26" t="inlineStr">
        <is>
          <t>Turquoise</t>
        </is>
      </c>
      <c r="E5" s="27">
        <f>MAX(0,E4-M4)</f>
        <v/>
      </c>
      <c r="F5" s="26">
        <f>INDEX(Stock!$C$2:$C$23,MATCH(C5,Stock!$A$2:$A$23,0))-SUMIF($C$2:$C$4,C5,$N$2:$N$4)-SUMIF($D$2:$D$4,C5,$P$2:$P$4)</f>
        <v/>
      </c>
      <c r="G5" s="26">
        <f>INDEX(Stock!$D$2:$D$23,MATCH(C5,Stock!$A$2:$A$23,0))-SUMIF($C$2:$C$4,C5,$O$2:$O$4)-SUMIF($D$2:$D$4,C5,$Q$2:$Q$4)</f>
        <v/>
      </c>
      <c r="H5" s="26">
        <f>INDEX(Stock!$C$2:$C$23,MATCH(D5,Stock!$A$2:$A$23,0))-SUMIF($C$2:$C$4,D5,$N$2:$N$4)-SUMIF($D$2:$D$4,D5,$P$2:$P$4)</f>
        <v/>
      </c>
      <c r="I5" s="26">
        <f>INDEX(Stock!$D$2:$D$23,MATCH(D5,Stock!$A$2:$A$23,0))-SUMIF($C$2:$C$4,D5,$O$2:$O$4)-SUMIF($D$2:$D$4,D5,$Q$2:$Q$4)</f>
        <v/>
      </c>
      <c r="J5" s="27">
        <f>MAX(0,MIN(E5,G5,H5))</f>
        <v/>
      </c>
      <c r="K5" s="27">
        <f>MAX(0,MIN(E5,F5,I5))</f>
        <v/>
      </c>
      <c r="L5" s="27">
        <f>IF(J5&gt;=K5,"P1F + P2M","P1M + P2F")</f>
        <v/>
      </c>
      <c r="M5" s="27">
        <f>MAX(J5,K5)</f>
        <v/>
      </c>
      <c r="N5" s="11">
        <f>IF(L5="P1M + P2F",M5,0)</f>
        <v/>
      </c>
      <c r="O5" s="11">
        <f>IF(L5="P1F + P2M",M5,0)</f>
        <v/>
      </c>
      <c r="P5" s="11">
        <f>IF(L5="P1F + P2M",M5,0)</f>
        <v/>
      </c>
      <c r="Q5" s="11">
        <f>IF(L5="P1M + P2F",M5,0)</f>
        <v/>
      </c>
      <c r="R5" s="11">
        <f>M5*2</f>
        <v/>
      </c>
    </row>
    <row r="6">
      <c r="A6" s="20" t="inlineStr">
        <is>
          <t>Ivoire-Pourpre</t>
        </is>
      </c>
      <c r="B6" s="21" t="n">
        <v>8</v>
      </c>
      <c r="C6" s="26" t="inlineStr">
        <is>
          <t>Ivoire</t>
        </is>
      </c>
      <c r="D6" s="26" t="inlineStr">
        <is>
          <t>Pourpre</t>
        </is>
      </c>
      <c r="E6" s="27">
        <f>MAX(0,E5-M5)</f>
        <v/>
      </c>
      <c r="F6" s="26">
        <f>INDEX(Stock!$C$2:$C$23,MATCH(C6,Stock!$A$2:$A$23,0))-SUMIF($C$2:$C$5,C6,$N$2:$N$5)-SUMIF($D$2:$D$5,C6,$P$2:$P$5)</f>
        <v/>
      </c>
      <c r="G6" s="26">
        <f>INDEX(Stock!$D$2:$D$23,MATCH(C6,Stock!$A$2:$A$23,0))-SUMIF($C$2:$C$5,C6,$O$2:$O$5)-SUMIF($D$2:$D$5,C6,$Q$2:$Q$5)</f>
        <v/>
      </c>
      <c r="H6" s="26">
        <f>INDEX(Stock!$C$2:$C$23,MATCH(D6,Stock!$A$2:$A$23,0))-SUMIF($C$2:$C$5,D6,$N$2:$N$5)-SUMIF($D$2:$D$5,D6,$P$2:$P$5)</f>
        <v/>
      </c>
      <c r="I6" s="26">
        <f>INDEX(Stock!$D$2:$D$23,MATCH(D6,Stock!$A$2:$A$23,0))-SUMIF($C$2:$C$5,D6,$O$2:$O$5)-SUMIF($D$2:$D$5,D6,$Q$2:$Q$5)</f>
        <v/>
      </c>
      <c r="J6" s="27">
        <f>MAX(0,MIN(E6,G6,H6))</f>
        <v/>
      </c>
      <c r="K6" s="27">
        <f>MAX(0,MIN(E6,F6,I6))</f>
        <v/>
      </c>
      <c r="L6" s="27">
        <f>IF(J6&gt;=K6,"P1F + P2M","P1M + P2F")</f>
        <v/>
      </c>
      <c r="M6" s="27">
        <f>MAX(J6,K6)</f>
        <v/>
      </c>
      <c r="N6" s="11">
        <f>IF(L6="P1M + P2F",M6,0)</f>
        <v/>
      </c>
      <c r="O6" s="11">
        <f>IF(L6="P1F + P2M",M6,0)</f>
        <v/>
      </c>
      <c r="P6" s="11">
        <f>IF(L6="P1F + P2M",M6,0)</f>
        <v/>
      </c>
      <c r="Q6" s="11">
        <f>IF(L6="P1M + P2F",M6,0)</f>
        <v/>
      </c>
      <c r="R6" s="11">
        <f>M6*2</f>
        <v/>
      </c>
    </row>
    <row r="7">
      <c r="A7" s="20" t="inlineStr">
        <is>
          <t>Turquoise-Orchidée</t>
        </is>
      </c>
      <c r="B7" s="21" t="n">
        <v>8</v>
      </c>
      <c r="C7" s="26" t="inlineStr">
        <is>
          <t>Turquoise</t>
        </is>
      </c>
      <c r="D7" s="26" t="inlineStr">
        <is>
          <t>Orchidée</t>
        </is>
      </c>
      <c r="E7" s="27">
        <f>MAX(0,E6-M6)</f>
        <v/>
      </c>
      <c r="F7" s="26">
        <f>INDEX(Stock!$C$2:$C$23,MATCH(C7,Stock!$A$2:$A$23,0))-SUMIF($C$2:$C$6,C7,$N$2:$N$6)-SUMIF($D$2:$D$6,C7,$P$2:$P$6)</f>
        <v/>
      </c>
      <c r="G7" s="26">
        <f>INDEX(Stock!$D$2:$D$23,MATCH(C7,Stock!$A$2:$A$23,0))-SUMIF($C$2:$C$6,C7,$O$2:$O$6)-SUMIF($D$2:$D$6,C7,$Q$2:$Q$6)</f>
        <v/>
      </c>
      <c r="H7" s="26">
        <f>INDEX(Stock!$C$2:$C$23,MATCH(D7,Stock!$A$2:$A$23,0))-SUMIF($C$2:$C$6,D7,$N$2:$N$6)-SUMIF($D$2:$D$6,D7,$P$2:$P$6)</f>
        <v/>
      </c>
      <c r="I7" s="26">
        <f>INDEX(Stock!$D$2:$D$23,MATCH(D7,Stock!$A$2:$A$23,0))-SUMIF($C$2:$C$6,D7,$O$2:$O$6)-SUMIF($D$2:$D$6,D7,$Q$2:$Q$6)</f>
        <v/>
      </c>
      <c r="J7" s="27">
        <f>MAX(0,MIN(E7,G7,H7))</f>
        <v/>
      </c>
      <c r="K7" s="27">
        <f>MAX(0,MIN(E7,F7,I7))</f>
        <v/>
      </c>
      <c r="L7" s="27">
        <f>IF(J7&gt;=K7,"P1F + P2M","P1M + P2F")</f>
        <v/>
      </c>
      <c r="M7" s="27">
        <f>MAX(J7,K7)</f>
        <v/>
      </c>
      <c r="N7" s="11">
        <f>IF(L7="P1M + P2F",M7,0)</f>
        <v/>
      </c>
      <c r="O7" s="11">
        <f>IF(L7="P1F + P2M",M7,0)</f>
        <v/>
      </c>
      <c r="P7" s="11">
        <f>IF(L7="P1F + P2M",M7,0)</f>
        <v/>
      </c>
      <c r="Q7" s="11">
        <f>IF(L7="P1M + P2F",M7,0)</f>
        <v/>
      </c>
      <c r="R7" s="11">
        <f>M7*2</f>
        <v/>
      </c>
    </row>
    <row r="8">
      <c r="A8" s="18" t="inlineStr">
        <is>
          <t>Turquoise</t>
        </is>
      </c>
      <c r="B8" s="19" t="n">
        <v>7</v>
      </c>
      <c r="C8" s="26" t="inlineStr">
        <is>
          <t>Ebène-Orchidée</t>
        </is>
      </c>
      <c r="D8" s="26" t="inlineStr">
        <is>
          <t>Orchidée-Pourpre</t>
        </is>
      </c>
      <c r="E8" s="27">
        <f>MAX(0,E7-M7)</f>
        <v/>
      </c>
      <c r="F8" s="26">
        <f>INDEX(Stock!$C$2:$C$23,MATCH(C8,Stock!$A$2:$A$23,0))-SUMIF($C$2:$C$7,C8,$N$2:$N$7)-SUMIF($D$2:$D$7,C8,$P$2:$P$7)</f>
        <v/>
      </c>
      <c r="G8" s="26">
        <f>INDEX(Stock!$D$2:$D$23,MATCH(C8,Stock!$A$2:$A$23,0))-SUMIF($C$2:$C$7,C8,$O$2:$O$7)-SUMIF($D$2:$D$7,C8,$Q$2:$Q$7)</f>
        <v/>
      </c>
      <c r="H8" s="26">
        <f>INDEX(Stock!$C$2:$C$23,MATCH(D8,Stock!$A$2:$A$23,0))-SUMIF($C$2:$C$7,D8,$N$2:$N$7)-SUMIF($D$2:$D$7,D8,$P$2:$P$7)</f>
        <v/>
      </c>
      <c r="I8" s="26">
        <f>INDEX(Stock!$D$2:$D$23,MATCH(D8,Stock!$A$2:$A$23,0))-SUMIF($C$2:$C$7,D8,$O$2:$O$7)-SUMIF($D$2:$D$7,D8,$Q$2:$Q$7)</f>
        <v/>
      </c>
      <c r="J8" s="27">
        <f>MAX(0,MIN(E8,G8,H8))</f>
        <v/>
      </c>
      <c r="K8" s="27">
        <f>MAX(0,MIN(E8,F8,I8))</f>
        <v/>
      </c>
      <c r="L8" s="27">
        <f>IF(J8&gt;=K8,"P1F + P2M","P1M + P2F")</f>
        <v/>
      </c>
      <c r="M8" s="27">
        <f>MAX(J8,K8)</f>
        <v/>
      </c>
      <c r="N8" s="11">
        <f>IF(L8="P1M + P2F",M8,0)</f>
        <v/>
      </c>
      <c r="O8" s="11">
        <f>IF(L8="P1F + P2M",M8,0)</f>
        <v/>
      </c>
      <c r="P8" s="11">
        <f>IF(L8="P1F + P2M",M8,0)</f>
        <v/>
      </c>
      <c r="Q8" s="11">
        <f>IF(L8="P1M + P2F",M8,0)</f>
        <v/>
      </c>
      <c r="R8" s="11">
        <f>M8*2</f>
        <v/>
      </c>
    </row>
    <row r="9">
      <c r="A9" s="18" t="inlineStr">
        <is>
          <t>Ivoire</t>
        </is>
      </c>
      <c r="B9" s="19" t="n">
        <v>7</v>
      </c>
      <c r="C9" s="26" t="inlineStr">
        <is>
          <t>Indigo-Pourpre</t>
        </is>
      </c>
      <c r="D9" s="26" t="inlineStr">
        <is>
          <t>Orchidée-Pourpre</t>
        </is>
      </c>
      <c r="E9" s="27">
        <f>MAX(0,E8-M8)</f>
        <v/>
      </c>
      <c r="F9" s="26">
        <f>INDEX(Stock!$C$2:$C$23,MATCH(C9,Stock!$A$2:$A$23,0))-SUMIF($C$2:$C$8,C9,$N$2:$N$8)-SUMIF($D$2:$D$8,C9,$P$2:$P$8)</f>
        <v/>
      </c>
      <c r="G9" s="26">
        <f>INDEX(Stock!$D$2:$D$23,MATCH(C9,Stock!$A$2:$A$23,0))-SUMIF($C$2:$C$8,C9,$O$2:$O$8)-SUMIF($D$2:$D$8,C9,$Q$2:$Q$8)</f>
        <v/>
      </c>
      <c r="H9" s="26">
        <f>INDEX(Stock!$C$2:$C$23,MATCH(D9,Stock!$A$2:$A$23,0))-SUMIF($C$2:$C$8,D9,$N$2:$N$8)-SUMIF($D$2:$D$8,D9,$P$2:$P$8)</f>
        <v/>
      </c>
      <c r="I9" s="26">
        <f>INDEX(Stock!$D$2:$D$23,MATCH(D9,Stock!$A$2:$A$23,0))-SUMIF($C$2:$C$8,D9,$O$2:$O$8)-SUMIF($D$2:$D$8,D9,$Q$2:$Q$8)</f>
        <v/>
      </c>
      <c r="J9" s="27">
        <f>MAX(0,MIN(E9,G9,H9))</f>
        <v/>
      </c>
      <c r="K9" s="27">
        <f>MAX(0,MIN(E9,F9,I9))</f>
        <v/>
      </c>
      <c r="L9" s="27">
        <f>IF(J9&gt;=K9,"P1F + P2M","P1M + P2F")</f>
        <v/>
      </c>
      <c r="M9" s="27">
        <f>MAX(J9,K9)</f>
        <v/>
      </c>
      <c r="N9" s="11">
        <f>IF(L9="P1M + P2F",M9,0)</f>
        <v/>
      </c>
      <c r="O9" s="11">
        <f>IF(L9="P1F + P2M",M9,0)</f>
        <v/>
      </c>
      <c r="P9" s="11">
        <f>IF(L9="P1F + P2M",M9,0)</f>
        <v/>
      </c>
      <c r="Q9" s="11">
        <f>IF(L9="P1M + P2F",M9,0)</f>
        <v/>
      </c>
      <c r="R9" s="11">
        <f>M9*2</f>
        <v/>
      </c>
    </row>
    <row r="10">
      <c r="A10" s="16" t="inlineStr">
        <is>
          <t>Ebène-Orchidée</t>
        </is>
      </c>
      <c r="B10" s="17" t="n">
        <v>6</v>
      </c>
      <c r="C10" s="26" t="inlineStr">
        <is>
          <t>Ebène</t>
        </is>
      </c>
      <c r="D10" s="26" t="inlineStr">
        <is>
          <t>Orchidée</t>
        </is>
      </c>
      <c r="E10" s="27">
        <f>MAX(0,E9-M9)</f>
        <v/>
      </c>
      <c r="F10" s="26">
        <f>INDEX(Stock!$C$2:$C$23,MATCH(C10,Stock!$A$2:$A$23,0))-SUMIF($C$2:$C$9,C10,$N$2:$N$9)-SUMIF($D$2:$D$9,C10,$P$2:$P$9)</f>
        <v/>
      </c>
      <c r="G10" s="26">
        <f>INDEX(Stock!$D$2:$D$23,MATCH(C10,Stock!$A$2:$A$23,0))-SUMIF($C$2:$C$9,C10,$O$2:$O$9)-SUMIF($D$2:$D$9,C10,$Q$2:$Q$9)</f>
        <v/>
      </c>
      <c r="H10" s="26">
        <f>INDEX(Stock!$C$2:$C$23,MATCH(D10,Stock!$A$2:$A$23,0))-SUMIF($C$2:$C$9,D10,$N$2:$N$9)-SUMIF($D$2:$D$9,D10,$P$2:$P$9)</f>
        <v/>
      </c>
      <c r="I10" s="26">
        <f>INDEX(Stock!$D$2:$D$23,MATCH(D10,Stock!$A$2:$A$23,0))-SUMIF($C$2:$C$9,D10,$O$2:$O$9)-SUMIF($D$2:$D$9,D10,$Q$2:$Q$9)</f>
        <v/>
      </c>
      <c r="J10" s="27">
        <f>MAX(0,MIN(E10,G10,H10))</f>
        <v/>
      </c>
      <c r="K10" s="27">
        <f>MAX(0,MIN(E10,F10,I10))</f>
        <v/>
      </c>
      <c r="L10" s="27">
        <f>IF(J10&gt;=K10,"P1F + P2M","P1M + P2F")</f>
        <v/>
      </c>
      <c r="M10" s="27">
        <f>MAX(J10,K10)</f>
        <v/>
      </c>
      <c r="N10" s="11">
        <f>IF(L10="P1M + P2F",M10,0)</f>
        <v/>
      </c>
      <c r="O10" s="11">
        <f>IF(L10="P1F + P2M",M10,0)</f>
        <v/>
      </c>
      <c r="P10" s="11">
        <f>IF(L10="P1F + P2M",M10,0)</f>
        <v/>
      </c>
      <c r="Q10" s="11">
        <f>IF(L10="P1M + P2F",M10,0)</f>
        <v/>
      </c>
      <c r="R10" s="11">
        <f>M10*2</f>
        <v/>
      </c>
    </row>
    <row r="11">
      <c r="A11" s="16" t="inlineStr">
        <is>
          <t>Orchidée-Pourpre</t>
        </is>
      </c>
      <c r="B11" s="17" t="n">
        <v>6</v>
      </c>
      <c r="C11" s="26" t="inlineStr">
        <is>
          <t>Orchidée</t>
        </is>
      </c>
      <c r="D11" s="26" t="inlineStr">
        <is>
          <t>Pourpre</t>
        </is>
      </c>
      <c r="E11" s="27">
        <f>MAX(0,E10-M10)</f>
        <v/>
      </c>
      <c r="F11" s="26">
        <f>INDEX(Stock!$C$2:$C$23,MATCH(C11,Stock!$A$2:$A$23,0))-SUMIF($C$2:$C$10,C11,$N$2:$N$10)-SUMIF($D$2:$D$10,C11,$P$2:$P$10)</f>
        <v/>
      </c>
      <c r="G11" s="26">
        <f>INDEX(Stock!$D$2:$D$23,MATCH(C11,Stock!$A$2:$A$23,0))-SUMIF($C$2:$C$10,C11,$O$2:$O$10)-SUMIF($D$2:$D$10,C11,$Q$2:$Q$10)</f>
        <v/>
      </c>
      <c r="H11" s="26">
        <f>INDEX(Stock!$C$2:$C$23,MATCH(D11,Stock!$A$2:$A$23,0))-SUMIF($C$2:$C$10,D11,$N$2:$N$10)-SUMIF($D$2:$D$10,D11,$P$2:$P$10)</f>
        <v/>
      </c>
      <c r="I11" s="26">
        <f>INDEX(Stock!$D$2:$D$23,MATCH(D11,Stock!$A$2:$A$23,0))-SUMIF($C$2:$C$10,D11,$O$2:$O$10)-SUMIF($D$2:$D$10,D11,$Q$2:$Q$10)</f>
        <v/>
      </c>
      <c r="J11" s="27">
        <f>MAX(0,MIN(E11,G11,H11))</f>
        <v/>
      </c>
      <c r="K11" s="27">
        <f>MAX(0,MIN(E11,F11,I11))</f>
        <v/>
      </c>
      <c r="L11" s="27">
        <f>IF(J11&gt;=K11,"P1F + P2M","P1M + P2F")</f>
        <v/>
      </c>
      <c r="M11" s="27">
        <f>MAX(J11,K11)</f>
        <v/>
      </c>
      <c r="N11" s="11">
        <f>IF(L11="P1M + P2F",M11,0)</f>
        <v/>
      </c>
      <c r="O11" s="11">
        <f>IF(L11="P1F + P2M",M11,0)</f>
        <v/>
      </c>
      <c r="P11" s="11">
        <f>IF(L11="P1F + P2M",M11,0)</f>
        <v/>
      </c>
      <c r="Q11" s="11">
        <f>IF(L11="P1M + P2F",M11,0)</f>
        <v/>
      </c>
      <c r="R11" s="11">
        <f>M11*2</f>
        <v/>
      </c>
    </row>
    <row r="12">
      <c r="A12" s="16" t="inlineStr">
        <is>
          <t>Indigo-Pourpre</t>
        </is>
      </c>
      <c r="B12" s="17" t="n">
        <v>6</v>
      </c>
      <c r="C12" s="26" t="inlineStr">
        <is>
          <t>Indigo</t>
        </is>
      </c>
      <c r="D12" s="26" t="inlineStr">
        <is>
          <t>Pourpre</t>
        </is>
      </c>
      <c r="E12" s="27">
        <f>MAX(0,E11-M11)</f>
        <v/>
      </c>
      <c r="F12" s="26">
        <f>INDEX(Stock!$C$2:$C$23,MATCH(C12,Stock!$A$2:$A$23,0))-SUMIF($C$2:$C$11,C12,$N$2:$N$11)-SUMIF($D$2:$D$11,C12,$P$2:$P$11)</f>
        <v/>
      </c>
      <c r="G12" s="26">
        <f>INDEX(Stock!$D$2:$D$23,MATCH(C12,Stock!$A$2:$A$23,0))-SUMIF($C$2:$C$11,C12,$O$2:$O$11)-SUMIF($D$2:$D$11,C12,$Q$2:$Q$11)</f>
        <v/>
      </c>
      <c r="H12" s="26">
        <f>INDEX(Stock!$C$2:$C$23,MATCH(D12,Stock!$A$2:$A$23,0))-SUMIF($C$2:$C$11,D12,$N$2:$N$11)-SUMIF($D$2:$D$11,D12,$P$2:$P$11)</f>
        <v/>
      </c>
      <c r="I12" s="26">
        <f>INDEX(Stock!$D$2:$D$23,MATCH(D12,Stock!$A$2:$A$23,0))-SUMIF($C$2:$C$11,D12,$O$2:$O$11)-SUMIF($D$2:$D$11,D12,$Q$2:$Q$11)</f>
        <v/>
      </c>
      <c r="J12" s="27">
        <f>MAX(0,MIN(E12,G12,H12))</f>
        <v/>
      </c>
      <c r="K12" s="27">
        <f>MAX(0,MIN(E12,F12,I12))</f>
        <v/>
      </c>
      <c r="L12" s="27">
        <f>IF(J12&gt;=K12,"P1F + P2M","P1M + P2F")</f>
        <v/>
      </c>
      <c r="M12" s="27">
        <f>MAX(J12,K12)</f>
        <v/>
      </c>
      <c r="N12" s="11">
        <f>IF(L12="P1M + P2F",M12,0)</f>
        <v/>
      </c>
      <c r="O12" s="11">
        <f>IF(L12="P1F + P2M",M12,0)</f>
        <v/>
      </c>
      <c r="P12" s="11">
        <f>IF(L12="P1F + P2M",M12,0)</f>
        <v/>
      </c>
      <c r="Q12" s="11">
        <f>IF(L12="P1M + P2F",M12,0)</f>
        <v/>
      </c>
      <c r="R12" s="11">
        <f>M12*2</f>
        <v/>
      </c>
    </row>
    <row r="13">
      <c r="A13" s="14" t="inlineStr">
        <is>
          <t>Pourpre</t>
        </is>
      </c>
      <c r="B13" s="15" t="n">
        <v>5</v>
      </c>
      <c r="C13" s="26" t="inlineStr">
        <is>
          <t>Amande-Rousse</t>
        </is>
      </c>
      <c r="D13" s="26" t="inlineStr">
        <is>
          <t>Ebène-Indigo</t>
        </is>
      </c>
      <c r="E13" s="27">
        <f>MAX(0,E12-M12)</f>
        <v/>
      </c>
      <c r="F13" s="26">
        <f>INDEX(Stock!$C$2:$C$23,MATCH(C13,Stock!$A$2:$A$23,0))-SUMIF($C$2:$C$12,C13,$N$2:$N$12)-SUMIF($D$2:$D$12,C13,$P$2:$P$12)</f>
        <v/>
      </c>
      <c r="G13" s="26">
        <f>INDEX(Stock!$D$2:$D$23,MATCH(C13,Stock!$A$2:$A$23,0))-SUMIF($C$2:$C$12,C13,$O$2:$O$12)-SUMIF($D$2:$D$12,C13,$Q$2:$Q$12)</f>
        <v/>
      </c>
      <c r="H13" s="26">
        <f>INDEX(Stock!$C$2:$C$23,MATCH(D13,Stock!$A$2:$A$23,0))-SUMIF($C$2:$C$12,D13,$N$2:$N$12)-SUMIF($D$2:$D$12,D13,$P$2:$P$12)</f>
        <v/>
      </c>
      <c r="I13" s="26">
        <f>INDEX(Stock!$D$2:$D$23,MATCH(D13,Stock!$A$2:$A$23,0))-SUMIF($C$2:$C$12,D13,$O$2:$O$12)-SUMIF($D$2:$D$12,D13,$Q$2:$Q$12)</f>
        <v/>
      </c>
      <c r="J13" s="27">
        <f>MAX(0,MIN(E13,G13,H13))</f>
        <v/>
      </c>
      <c r="K13" s="27">
        <f>MAX(0,MIN(E13,F13,I13))</f>
        <v/>
      </c>
      <c r="L13" s="27">
        <f>IF(J13&gt;=K13,"P1F + P2M","P1M + P2F")</f>
        <v/>
      </c>
      <c r="M13" s="27">
        <f>MAX(J13,K13)</f>
        <v/>
      </c>
      <c r="N13" s="11">
        <f>IF(L13="P1M + P2F",M13,0)</f>
        <v/>
      </c>
      <c r="O13" s="11">
        <f>IF(L13="P1F + P2M",M13,0)</f>
        <v/>
      </c>
      <c r="P13" s="11">
        <f>IF(L13="P1F + P2M",M13,0)</f>
        <v/>
      </c>
      <c r="Q13" s="11">
        <f>IF(L13="P1M + P2F",M13,0)</f>
        <v/>
      </c>
      <c r="R13" s="11">
        <f>M13*2</f>
        <v/>
      </c>
    </row>
    <row r="14">
      <c r="A14" s="14" t="inlineStr">
        <is>
          <t>Orchidée</t>
        </is>
      </c>
      <c r="B14" s="15" t="n">
        <v>5</v>
      </c>
      <c r="C14" s="26" t="inlineStr">
        <is>
          <t>Doré-Rousse</t>
        </is>
      </c>
      <c r="D14" s="26" t="inlineStr">
        <is>
          <t>Ebène-Indigo</t>
        </is>
      </c>
      <c r="E14" s="27">
        <f>MAX(0,E13-M13)</f>
        <v/>
      </c>
      <c r="F14" s="26">
        <f>INDEX(Stock!$C$2:$C$23,MATCH(C14,Stock!$A$2:$A$23,0))-SUMIF($C$2:$C$13,C14,$N$2:$N$13)-SUMIF($D$2:$D$13,C14,$P$2:$P$13)</f>
        <v/>
      </c>
      <c r="G14" s="26">
        <f>INDEX(Stock!$D$2:$D$23,MATCH(C14,Stock!$A$2:$A$23,0))-SUMIF($C$2:$C$13,C14,$O$2:$O$13)-SUMIF($D$2:$D$13,C14,$Q$2:$Q$13)</f>
        <v/>
      </c>
      <c r="H14" s="26">
        <f>INDEX(Stock!$C$2:$C$23,MATCH(D14,Stock!$A$2:$A$23,0))-SUMIF($C$2:$C$13,D14,$N$2:$N$13)-SUMIF($D$2:$D$13,D14,$P$2:$P$13)</f>
        <v/>
      </c>
      <c r="I14" s="26">
        <f>INDEX(Stock!$D$2:$D$23,MATCH(D14,Stock!$A$2:$A$23,0))-SUMIF($C$2:$C$13,D14,$O$2:$O$13)-SUMIF($D$2:$D$13,D14,$Q$2:$Q$13)</f>
        <v/>
      </c>
      <c r="J14" s="27">
        <f>MAX(0,MIN(E14,G14,H14))</f>
        <v/>
      </c>
      <c r="K14" s="27">
        <f>MAX(0,MIN(E14,F14,I14))</f>
        <v/>
      </c>
      <c r="L14" s="27">
        <f>IF(J14&gt;=K14,"P1F + P2M","P1M + P2F")</f>
        <v/>
      </c>
      <c r="M14" s="27">
        <f>MAX(J14,K14)</f>
        <v/>
      </c>
      <c r="N14" s="11">
        <f>IF(L14="P1M + P2F",M14,0)</f>
        <v/>
      </c>
      <c r="O14" s="11">
        <f>IF(L14="P1F + P2M",M14,0)</f>
        <v/>
      </c>
      <c r="P14" s="11">
        <f>IF(L14="P1F + P2M",M14,0)</f>
        <v/>
      </c>
      <c r="Q14" s="11">
        <f>IF(L14="P1M + P2F",M14,0)</f>
        <v/>
      </c>
      <c r="R14" s="11">
        <f>M14*2</f>
        <v/>
      </c>
    </row>
    <row r="15">
      <c r="A15" s="12" t="inlineStr">
        <is>
          <t>Ebène-Indigo</t>
        </is>
      </c>
      <c r="B15" s="13" t="n">
        <v>4</v>
      </c>
      <c r="C15" s="26" t="inlineStr">
        <is>
          <t>Ebène</t>
        </is>
      </c>
      <c r="D15" s="26" t="inlineStr">
        <is>
          <t>Indigo</t>
        </is>
      </c>
      <c r="E15" s="27">
        <f>MAX(0,E14-M14)</f>
        <v/>
      </c>
      <c r="F15" s="26">
        <f>INDEX(Stock!$C$2:$C$23,MATCH(C15,Stock!$A$2:$A$23,0))-SUMIF($C$2:$C$14,C15,$N$2:$N$14)-SUMIF($D$2:$D$14,C15,$P$2:$P$14)</f>
        <v/>
      </c>
      <c r="G15" s="26">
        <f>INDEX(Stock!$D$2:$D$23,MATCH(C15,Stock!$A$2:$A$23,0))-SUMIF($C$2:$C$14,C15,$O$2:$O$14)-SUMIF($D$2:$D$14,C15,$Q$2:$Q$14)</f>
        <v/>
      </c>
      <c r="H15" s="26">
        <f>INDEX(Stock!$C$2:$C$23,MATCH(D15,Stock!$A$2:$A$23,0))-SUMIF($C$2:$C$14,D15,$N$2:$N$14)-SUMIF($D$2:$D$14,D15,$P$2:$P$14)</f>
        <v/>
      </c>
      <c r="I15" s="26">
        <f>INDEX(Stock!$D$2:$D$23,MATCH(D15,Stock!$A$2:$A$23,0))-SUMIF($C$2:$C$14,D15,$O$2:$O$14)-SUMIF($D$2:$D$14,D15,$Q$2:$Q$14)</f>
        <v/>
      </c>
      <c r="J15" s="27">
        <f>MAX(0,MIN(E15,G15,H15))</f>
        <v/>
      </c>
      <c r="K15" s="27">
        <f>MAX(0,MIN(E15,F15,I15))</f>
        <v/>
      </c>
      <c r="L15" s="27">
        <f>IF(J15&gt;=K15,"P1F + P2M","P1M + P2F")</f>
        <v/>
      </c>
      <c r="M15" s="27">
        <f>MAX(J15,K15)</f>
        <v/>
      </c>
      <c r="N15" s="11">
        <f>IF(L15="P1M + P2F",M15,0)</f>
        <v/>
      </c>
      <c r="O15" s="11">
        <f>IF(L15="P1F + P2M",M15,0)</f>
        <v/>
      </c>
      <c r="P15" s="11">
        <f>IF(L15="P1F + P2M",M15,0)</f>
        <v/>
      </c>
      <c r="Q15" s="11">
        <f>IF(L15="P1M + P2F",M15,0)</f>
        <v/>
      </c>
      <c r="R15" s="11">
        <f>M15*2</f>
        <v/>
      </c>
    </row>
    <row r="16">
      <c r="A16" s="10" t="inlineStr">
        <is>
          <t>Ebène</t>
        </is>
      </c>
      <c r="B16" s="11" t="n">
        <v>3</v>
      </c>
      <c r="C16" s="26" t="inlineStr">
        <is>
          <t>Amande-Doré</t>
        </is>
      </c>
      <c r="D16" s="26" t="inlineStr">
        <is>
          <t>Doré-Rousse</t>
        </is>
      </c>
      <c r="E16" s="27">
        <f>MAX(0,E15-M15)</f>
        <v/>
      </c>
      <c r="F16" s="26">
        <f>INDEX(Stock!$C$2:$C$23,MATCH(C16,Stock!$A$2:$A$23,0))-SUMIF($C$2:$C$15,C16,$N$2:$N$15)-SUMIF($D$2:$D$15,C16,$P$2:$P$15)</f>
        <v/>
      </c>
      <c r="G16" s="26">
        <f>INDEX(Stock!$D$2:$D$23,MATCH(C16,Stock!$A$2:$A$23,0))-SUMIF($C$2:$C$15,C16,$O$2:$O$15)-SUMIF($D$2:$D$15,C16,$Q$2:$Q$15)</f>
        <v/>
      </c>
      <c r="H16" s="26">
        <f>INDEX(Stock!$C$2:$C$23,MATCH(D16,Stock!$A$2:$A$23,0))-SUMIF($C$2:$C$15,D16,$N$2:$N$15)-SUMIF($D$2:$D$15,D16,$P$2:$P$15)</f>
        <v/>
      </c>
      <c r="I16" s="26">
        <f>INDEX(Stock!$D$2:$D$23,MATCH(D16,Stock!$A$2:$A$23,0))-SUMIF($C$2:$C$15,D16,$O$2:$O$15)-SUMIF($D$2:$D$15,D16,$Q$2:$Q$15)</f>
        <v/>
      </c>
      <c r="J16" s="27">
        <f>MAX(0,MIN(E16,G16,H16))</f>
        <v/>
      </c>
      <c r="K16" s="27">
        <f>MAX(0,MIN(E16,F16,I16))</f>
        <v/>
      </c>
      <c r="L16" s="27">
        <f>IF(J16&gt;=K16,"P1F + P2M","P1M + P2F")</f>
        <v/>
      </c>
      <c r="M16" s="27">
        <f>MAX(J16,K16)</f>
        <v/>
      </c>
      <c r="N16" s="11">
        <f>IF(L16="P1M + P2F",M16,0)</f>
        <v/>
      </c>
      <c r="O16" s="11">
        <f>IF(L16="P1F + P2M",M16,0)</f>
        <v/>
      </c>
      <c r="P16" s="11">
        <f>IF(L16="P1F + P2M",M16,0)</f>
        <v/>
      </c>
      <c r="Q16" s="11">
        <f>IF(L16="P1M + P2F",M16,0)</f>
        <v/>
      </c>
      <c r="R16" s="11">
        <f>M16*2</f>
        <v/>
      </c>
    </row>
    <row r="17">
      <c r="A17" s="10" t="inlineStr">
        <is>
          <t>Indigo</t>
        </is>
      </c>
      <c r="B17" s="11" t="n">
        <v>3</v>
      </c>
      <c r="C17" s="26" t="inlineStr">
        <is>
          <t>Amande-Doré</t>
        </is>
      </c>
      <c r="D17" s="26" t="inlineStr">
        <is>
          <t>Amande-Rousse</t>
        </is>
      </c>
      <c r="E17" s="27">
        <f>MAX(0,E16-M16)</f>
        <v/>
      </c>
      <c r="F17" s="26">
        <f>INDEX(Stock!$C$2:$C$23,MATCH(C17,Stock!$A$2:$A$23,0))-SUMIF($C$2:$C$16,C17,$N$2:$N$16)-SUMIF($D$2:$D$16,C17,$P$2:$P$16)</f>
        <v/>
      </c>
      <c r="G17" s="26">
        <f>INDEX(Stock!$D$2:$D$23,MATCH(C17,Stock!$A$2:$A$23,0))-SUMIF($C$2:$C$16,C17,$O$2:$O$16)-SUMIF($D$2:$D$16,C17,$Q$2:$Q$16)</f>
        <v/>
      </c>
      <c r="H17" s="26">
        <f>INDEX(Stock!$C$2:$C$23,MATCH(D17,Stock!$A$2:$A$23,0))-SUMIF($C$2:$C$16,D17,$N$2:$N$16)-SUMIF($D$2:$D$16,D17,$P$2:$P$16)</f>
        <v/>
      </c>
      <c r="I17" s="26">
        <f>INDEX(Stock!$D$2:$D$23,MATCH(D17,Stock!$A$2:$A$23,0))-SUMIF($C$2:$C$16,D17,$O$2:$O$16)-SUMIF($D$2:$D$16,D17,$Q$2:$Q$16)</f>
        <v/>
      </c>
      <c r="J17" s="27">
        <f>MAX(0,MIN(E17,G17,H17))</f>
        <v/>
      </c>
      <c r="K17" s="27">
        <f>MAX(0,MIN(E17,F17,I17))</f>
        <v/>
      </c>
      <c r="L17" s="27">
        <f>IF(J17&gt;=K17,"P1F + P2M","P1M + P2F")</f>
        <v/>
      </c>
      <c r="M17" s="27">
        <f>MAX(J17,K17)</f>
        <v/>
      </c>
      <c r="N17" s="11">
        <f>IF(L17="P1M + P2F",M17,0)</f>
        <v/>
      </c>
      <c r="O17" s="11">
        <f>IF(L17="P1F + P2M",M17,0)</f>
        <v/>
      </c>
      <c r="P17" s="11">
        <f>IF(L17="P1F + P2M",M17,0)</f>
        <v/>
      </c>
      <c r="Q17" s="11">
        <f>IF(L17="P1M + P2F",M17,0)</f>
        <v/>
      </c>
      <c r="R17" s="11">
        <f>M17*2</f>
        <v/>
      </c>
    </row>
    <row r="18">
      <c r="A18" s="8" t="inlineStr">
        <is>
          <t>Amande-Rousse</t>
        </is>
      </c>
      <c r="B18" s="9" t="n">
        <v>2</v>
      </c>
      <c r="C18" s="26" t="inlineStr">
        <is>
          <t>Amande</t>
        </is>
      </c>
      <c r="D18" s="26" t="inlineStr">
        <is>
          <t>Rousse</t>
        </is>
      </c>
      <c r="E18" s="27">
        <f>MAX(0,E17-M17)</f>
        <v/>
      </c>
      <c r="F18" s="26">
        <f>INDEX(Stock!$C$2:$C$23,MATCH(C18,Stock!$A$2:$A$23,0))-SUMIF($C$2:$C$17,C18,$N$2:$N$17)-SUMIF($D$2:$D$17,C18,$P$2:$P$17)</f>
        <v/>
      </c>
      <c r="G18" s="26">
        <f>INDEX(Stock!$D$2:$D$23,MATCH(C18,Stock!$A$2:$A$23,0))-SUMIF($C$2:$C$17,C18,$O$2:$O$17)-SUMIF($D$2:$D$17,C18,$Q$2:$Q$17)</f>
        <v/>
      </c>
      <c r="H18" s="26">
        <f>INDEX(Stock!$C$2:$C$23,MATCH(D18,Stock!$A$2:$A$23,0))-SUMIF($C$2:$C$17,D18,$N$2:$N$17)-SUMIF($D$2:$D$17,D18,$P$2:$P$17)</f>
        <v/>
      </c>
      <c r="I18" s="26">
        <f>INDEX(Stock!$D$2:$D$23,MATCH(D18,Stock!$A$2:$A$23,0))-SUMIF($C$2:$C$17,D18,$O$2:$O$17)-SUMIF($D$2:$D$17,D18,$Q$2:$Q$17)</f>
        <v/>
      </c>
      <c r="J18" s="27">
        <f>MAX(0,MIN(E18,G18,H18))</f>
        <v/>
      </c>
      <c r="K18" s="27">
        <f>MAX(0,MIN(E18,F18,I18))</f>
        <v/>
      </c>
      <c r="L18" s="27">
        <f>IF(J18&gt;=K18,"P1F + P2M","P1M + P2F")</f>
        <v/>
      </c>
      <c r="M18" s="27">
        <f>MAX(J18,K18)</f>
        <v/>
      </c>
      <c r="N18" s="11">
        <f>IF(L18="P1M + P2F",M18,0)</f>
        <v/>
      </c>
      <c r="O18" s="11">
        <f>IF(L18="P1F + P2M",M18,0)</f>
        <v/>
      </c>
      <c r="P18" s="11">
        <f>IF(L18="P1F + P2M",M18,0)</f>
        <v/>
      </c>
      <c r="Q18" s="11">
        <f>IF(L18="P1M + P2F",M18,0)</f>
        <v/>
      </c>
      <c r="R18" s="11">
        <f>M18*2</f>
        <v/>
      </c>
    </row>
    <row r="19">
      <c r="A19" s="8" t="inlineStr">
        <is>
          <t>Amande-Doré</t>
        </is>
      </c>
      <c r="B19" s="9" t="n">
        <v>2</v>
      </c>
      <c r="C19" s="26" t="inlineStr">
        <is>
          <t>Amande</t>
        </is>
      </c>
      <c r="D19" s="26" t="inlineStr">
        <is>
          <t>Doré</t>
        </is>
      </c>
      <c r="E19" s="27">
        <f>MAX(0,E18-M18)</f>
        <v/>
      </c>
      <c r="F19" s="26">
        <f>INDEX(Stock!$C$2:$C$23,MATCH(C19,Stock!$A$2:$A$23,0))-SUMIF($C$2:$C$18,C19,$N$2:$N$18)-SUMIF($D$2:$D$18,C19,$P$2:$P$18)</f>
        <v/>
      </c>
      <c r="G19" s="26">
        <f>INDEX(Stock!$D$2:$D$23,MATCH(C19,Stock!$A$2:$A$23,0))-SUMIF($C$2:$C$18,C19,$O$2:$O$18)-SUMIF($D$2:$D$18,C19,$Q$2:$Q$18)</f>
        <v/>
      </c>
      <c r="H19" s="26">
        <f>INDEX(Stock!$C$2:$C$23,MATCH(D19,Stock!$A$2:$A$23,0))-SUMIF($C$2:$C$18,D19,$N$2:$N$18)-SUMIF($D$2:$D$18,D19,$P$2:$P$18)</f>
        <v/>
      </c>
      <c r="I19" s="26">
        <f>INDEX(Stock!$D$2:$D$23,MATCH(D19,Stock!$A$2:$A$23,0))-SUMIF($C$2:$C$18,D19,$O$2:$O$18)-SUMIF($D$2:$D$18,D19,$Q$2:$Q$18)</f>
        <v/>
      </c>
      <c r="J19" s="27">
        <f>MAX(0,MIN(E19,G19,H19))</f>
        <v/>
      </c>
      <c r="K19" s="27">
        <f>MAX(0,MIN(E19,F19,I19))</f>
        <v/>
      </c>
      <c r="L19" s="27">
        <f>IF(J19&gt;=K19,"P1F + P2M","P1M + P2F")</f>
        <v/>
      </c>
      <c r="M19" s="27">
        <f>MAX(J19,K19)</f>
        <v/>
      </c>
      <c r="N19" s="11">
        <f>IF(L19="P1M + P2F",M19,0)</f>
        <v/>
      </c>
      <c r="O19" s="11">
        <f>IF(L19="P1F + P2M",M19,0)</f>
        <v/>
      </c>
      <c r="P19" s="11">
        <f>IF(L19="P1F + P2M",M19,0)</f>
        <v/>
      </c>
      <c r="Q19" s="11">
        <f>IF(L19="P1M + P2F",M19,0)</f>
        <v/>
      </c>
      <c r="R19" s="11">
        <f>M19*2</f>
        <v/>
      </c>
    </row>
    <row r="20">
      <c r="A20" s="8" t="inlineStr">
        <is>
          <t>Doré-Rousse</t>
        </is>
      </c>
      <c r="B20" s="9" t="n">
        <v>2</v>
      </c>
      <c r="C20" s="26" t="inlineStr">
        <is>
          <t>Doré</t>
        </is>
      </c>
      <c r="D20" s="26" t="inlineStr">
        <is>
          <t>Rousse</t>
        </is>
      </c>
      <c r="E20" s="27">
        <f>MAX(0,E19-M19)</f>
        <v/>
      </c>
      <c r="F20" s="26">
        <f>INDEX(Stock!$C$2:$C$23,MATCH(C20,Stock!$A$2:$A$23,0))-SUMIF($C$2:$C$19,C20,$N$2:$N$19)-SUMIF($D$2:$D$19,C20,$P$2:$P$19)</f>
        <v/>
      </c>
      <c r="G20" s="26">
        <f>INDEX(Stock!$D$2:$D$23,MATCH(C20,Stock!$A$2:$A$23,0))-SUMIF($C$2:$C$19,C20,$O$2:$O$19)-SUMIF($D$2:$D$19,C20,$Q$2:$Q$19)</f>
        <v/>
      </c>
      <c r="H20" s="26">
        <f>INDEX(Stock!$C$2:$C$23,MATCH(D20,Stock!$A$2:$A$23,0))-SUMIF($C$2:$C$19,D20,$N$2:$N$19)-SUMIF($D$2:$D$19,D20,$P$2:$P$19)</f>
        <v/>
      </c>
      <c r="I20" s="26">
        <f>INDEX(Stock!$D$2:$D$23,MATCH(D20,Stock!$A$2:$A$23,0))-SUMIF($C$2:$C$19,D20,$O$2:$O$19)-SUMIF($D$2:$D$19,D20,$Q$2:$Q$19)</f>
        <v/>
      </c>
      <c r="J20" s="27">
        <f>MAX(0,MIN(E20,G20,H20))</f>
        <v/>
      </c>
      <c r="K20" s="27">
        <f>MAX(0,MIN(E20,F20,I20))</f>
        <v/>
      </c>
      <c r="L20" s="27">
        <f>IF(J20&gt;=K20,"P1F + P2M","P1M + P2F")</f>
        <v/>
      </c>
      <c r="M20" s="27">
        <f>MAX(J20,K20)</f>
        <v/>
      </c>
      <c r="N20" s="11">
        <f>IF(L20="P1M + P2F",M20,0)</f>
        <v/>
      </c>
      <c r="O20" s="11">
        <f>IF(L20="P1F + P2M",M20,0)</f>
        <v/>
      </c>
      <c r="P20" s="11">
        <f>IF(L20="P1F + P2M",M20,0)</f>
        <v/>
      </c>
      <c r="Q20" s="11">
        <f>IF(L20="P1M + P2F",M20,0)</f>
        <v/>
      </c>
      <c r="R20" s="11">
        <f>M20*2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6" customWidth="1" min="4" max="4"/>
    <col width="18" customWidth="1" min="5" max="5"/>
    <col width="20" customWidth="1" min="6" max="6"/>
    <col width="16" customWidth="1" min="7" max="7"/>
    <col width="18" customWidth="1" min="8" max="8"/>
    <col width="19" customWidth="1" min="9" max="9"/>
    <col width="21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6" customWidth="1" min="21" max="21"/>
    <col width="22" customWidth="1" min="22" max="22"/>
  </cols>
  <sheetData>
    <row r="1">
      <c r="A1" s="1" t="inlineStr">
        <is>
          <t>Dragodinde</t>
        </is>
      </c>
      <c r="B1" s="1" t="inlineStr">
        <is>
          <t>Gen</t>
        </is>
      </c>
      <c r="C1" s="1" t="inlineStr">
        <is>
          <t>Mâles stock</t>
        </is>
      </c>
      <c r="D1" s="1" t="inlineStr">
        <is>
          <t>Femelles stock</t>
        </is>
      </c>
      <c r="E1" s="1" t="inlineStr">
        <is>
          <t>Mâles pris du stock</t>
        </is>
      </c>
      <c r="F1" s="1" t="inlineStr">
        <is>
          <t>Femelles prises du stock</t>
        </is>
      </c>
      <c r="G1" s="1" t="inlineStr">
        <is>
          <t>Mâles ajoutés G1</t>
        </is>
      </c>
      <c r="H1" s="1" t="inlineStr">
        <is>
          <t>Femelles ajoutées G1</t>
        </is>
      </c>
      <c r="I1" s="1" t="inlineStr">
        <is>
          <t>Mâles à prendre total</t>
        </is>
      </c>
      <c r="J1" s="1" t="inlineStr">
        <is>
          <t>Femelles à prendre total</t>
        </is>
      </c>
      <c r="K1" s="1" t="inlineStr">
        <is>
          <t>Total individus</t>
        </is>
      </c>
      <c r="L1" s="1" t="inlineStr">
        <is>
          <t>% cible G10</t>
        </is>
      </c>
      <c r="M1" s="1" t="inlineStr">
        <is>
          <t>% sélection actuelle</t>
        </is>
      </c>
      <c r="N1" s="1" t="inlineStr">
        <is>
          <t>Écart vs cible</t>
        </is>
      </c>
      <c r="O1" s="1" t="inlineStr">
        <is>
          <t>Paires cibles</t>
        </is>
      </c>
      <c r="P1" s="1" t="inlineStr">
        <is>
          <t>Écart paires</t>
        </is>
      </c>
      <c r="Q1" s="1" t="inlineStr">
        <is>
          <t>Paires stock</t>
        </is>
      </c>
      <c r="R1" s="1" t="inlineStr">
        <is>
          <t>Paires cibles G10</t>
        </is>
      </c>
      <c r="S1" s="1" t="inlineStr">
        <is>
          <t>Paires reco stock</t>
        </is>
      </c>
      <c r="T1" s="1" t="inlineStr">
        <is>
          <t>Individus reco stock</t>
        </is>
      </c>
      <c r="U1" s="1" t="inlineStr">
        <is>
          <t>Écart paires stock vs cible</t>
        </is>
      </c>
      <c r="V1" s="1" t="inlineStr">
        <is>
          <t>Règle</t>
        </is>
      </c>
    </row>
    <row r="2">
      <c r="A2" s="3" t="inlineStr">
        <is>
          <t>Amande</t>
        </is>
      </c>
      <c r="B2" s="4" t="n">
        <v>1</v>
      </c>
      <c r="C2" s="28">
        <f>Stock!C2</f>
        <v/>
      </c>
      <c r="D2" s="28">
        <f>Stock!D2</f>
        <v/>
      </c>
      <c r="E2" s="11">
        <f>SUMIF(Selection_auto!$C$2:$C$20,A2,Selection_auto!$N$2:$N$20)+SUMIF(Selection_auto!$D$2:$D$20,A2,Selection_auto!$P$2:$P$20)</f>
        <v/>
      </c>
      <c r="F2" s="11">
        <f>SUMIF(Selection_auto!$C$2:$C$20,A2,Selection_auto!$O$2:$O$20)+SUMIF(Selection_auto!$D$2:$D$20,A2,Selection_auto!$Q$2:$Q$20)</f>
        <v/>
      </c>
      <c r="G2" s="27">
        <f>INT(Selection_auto!$V$2*79/224)</f>
        <v/>
      </c>
      <c r="H2" s="27">
        <f>INT(Selection_auto!$V$2*79/224)</f>
        <v/>
      </c>
      <c r="I2" s="11">
        <f>E2+G2</f>
        <v/>
      </c>
      <c r="J2" s="11">
        <f>F2+H2</f>
        <v/>
      </c>
      <c r="K2" s="11">
        <f>I2+J2</f>
        <v/>
      </c>
      <c r="L2" s="34">
        <f>IFERROR(VLOOKUP(A2,Ratios_G10!$A$2:$D$22,4,FALSE),0)</f>
        <v/>
      </c>
      <c r="M2" s="34">
        <f>IF($K$25=0,0,K2/$K$25)</f>
        <v/>
      </c>
      <c r="N2" s="34">
        <f>M2-L2</f>
        <v/>
      </c>
      <c r="O2" s="35">
        <f>ROUND(L2*($K$25/2),0)</f>
        <v/>
      </c>
      <c r="P2" s="36">
        <f>(K2/2)-O2</f>
        <v/>
      </c>
      <c r="Q2" s="41">
        <f>MIN(C2,D2)</f>
        <v/>
      </c>
      <c r="R2" s="41">
        <f>ROUND(IFERROR(VLOOKUP(A2,Ratios_G10!$A$2:$F$22,4,FALSE),0)*125,0)</f>
        <v/>
      </c>
      <c r="S2" s="41">
        <f>IF(B2=1,0,MIN(Q2,R2))</f>
        <v/>
      </c>
      <c r="T2" s="41">
        <f>S2*2</f>
        <v/>
      </c>
      <c r="U2" s="41">
        <f>Q2-R2</f>
        <v/>
      </c>
      <c r="V2" s="41">
        <f>IF(B2=1,"Auto-fill G1 seulement","Prendre selon stock/cible")</f>
        <v/>
      </c>
    </row>
    <row r="3">
      <c r="A3" s="3" t="inlineStr">
        <is>
          <t>Doré</t>
        </is>
      </c>
      <c r="B3" s="4" t="n">
        <v>1</v>
      </c>
      <c r="C3" s="28">
        <f>Stock!C3</f>
        <v/>
      </c>
      <c r="D3" s="28">
        <f>Stock!D3</f>
        <v/>
      </c>
      <c r="E3" s="11">
        <f>SUMIF(Selection_auto!$C$2:$C$20,A3,Selection_auto!$N$2:$N$20)+SUMIF(Selection_auto!$D$2:$D$20,A3,Selection_auto!$P$2:$P$20)</f>
        <v/>
      </c>
      <c r="F3" s="11">
        <f>SUMIF(Selection_auto!$C$2:$C$20,A3,Selection_auto!$O$2:$O$20)+SUMIF(Selection_auto!$D$2:$D$20,A3,Selection_auto!$Q$2:$Q$20)</f>
        <v/>
      </c>
      <c r="G3" s="27">
        <f>INT(Selection_auto!$V$2*79/224)</f>
        <v/>
      </c>
      <c r="H3" s="27">
        <f>INT(Selection_auto!$V$2*79/224)</f>
        <v/>
      </c>
      <c r="I3" s="11">
        <f>E3+G3</f>
        <v/>
      </c>
      <c r="J3" s="11">
        <f>F3+H3</f>
        <v/>
      </c>
      <c r="K3" s="11">
        <f>I3+J3</f>
        <v/>
      </c>
      <c r="L3" s="34">
        <f>IFERROR(VLOOKUP(A3,Ratios_G10!$A$2:$D$22,4,FALSE),0)</f>
        <v/>
      </c>
      <c r="M3" s="34">
        <f>IF($K$25=0,0,K3/$K$25)</f>
        <v/>
      </c>
      <c r="N3" s="34">
        <f>M3-L3</f>
        <v/>
      </c>
      <c r="O3" s="35">
        <f>ROUND(L3*($K$25/2),0)</f>
        <v/>
      </c>
      <c r="P3" s="36">
        <f>(K3/2)-O3</f>
        <v/>
      </c>
      <c r="Q3" s="41">
        <f>MIN(C3,D3)</f>
        <v/>
      </c>
      <c r="R3" s="41">
        <f>ROUND(IFERROR(VLOOKUP(A3,Ratios_G10!$A$2:$F$22,4,FALSE),0)*125,0)</f>
        <v/>
      </c>
      <c r="S3" s="41">
        <f>IF(B3=1,0,MIN(Q3,R3))</f>
        <v/>
      </c>
      <c r="T3" s="41">
        <f>S3*2</f>
        <v/>
      </c>
      <c r="U3" s="41">
        <f>Q3-R3</f>
        <v/>
      </c>
      <c r="V3" s="41">
        <f>IF(B3=1,"Auto-fill G1 seulement","Prendre selon stock/cible")</f>
        <v/>
      </c>
    </row>
    <row r="4">
      <c r="A4" s="3" t="inlineStr">
        <is>
          <t>Rousse</t>
        </is>
      </c>
      <c r="B4" s="4" t="n">
        <v>1</v>
      </c>
      <c r="C4" s="28">
        <f>Stock!C4</f>
        <v/>
      </c>
      <c r="D4" s="28">
        <f>Stock!D4</f>
        <v/>
      </c>
      <c r="E4" s="11">
        <f>SUMIF(Selection_auto!$C$2:$C$20,A4,Selection_auto!$N$2:$N$20)+SUMIF(Selection_auto!$D$2:$D$20,A4,Selection_auto!$P$2:$P$20)</f>
        <v/>
      </c>
      <c r="F4" s="11">
        <f>SUMIF(Selection_auto!$C$2:$C$20,A4,Selection_auto!$O$2:$O$20)+SUMIF(Selection_auto!$D$2:$D$20,A4,Selection_auto!$Q$2:$Q$20)</f>
        <v/>
      </c>
      <c r="G4" s="27">
        <f>Selection_auto!$V$2 - SUM(G2:G3)</f>
        <v/>
      </c>
      <c r="H4" s="27">
        <f>Selection_auto!$V$2 - SUM(H2:H3)</f>
        <v/>
      </c>
      <c r="I4" s="11">
        <f>E4+G4</f>
        <v/>
      </c>
      <c r="J4" s="11">
        <f>F4+H4</f>
        <v/>
      </c>
      <c r="K4" s="11">
        <f>I4+J4</f>
        <v/>
      </c>
      <c r="L4" s="34">
        <f>IFERROR(VLOOKUP(A4,Ratios_G10!$A$2:$D$22,4,FALSE),0)</f>
        <v/>
      </c>
      <c r="M4" s="34">
        <f>IF($K$25=0,0,K4/$K$25)</f>
        <v/>
      </c>
      <c r="N4" s="34">
        <f>M4-L4</f>
        <v/>
      </c>
      <c r="O4" s="35">
        <f>ROUND(L4*($K$25/2),0)</f>
        <v/>
      </c>
      <c r="P4" s="36">
        <f>(K4/2)-O4</f>
        <v/>
      </c>
      <c r="Q4" s="41">
        <f>MIN(C4,D4)</f>
        <v/>
      </c>
      <c r="R4" s="41">
        <f>ROUND(IFERROR(VLOOKUP(A4,Ratios_G10!$A$2:$F$22,4,FALSE),0)*125,0)</f>
        <v/>
      </c>
      <c r="S4" s="41">
        <f>IF(B4=1,0,MIN(Q4,R4))</f>
        <v/>
      </c>
      <c r="T4" s="41">
        <f>S4*2</f>
        <v/>
      </c>
      <c r="U4" s="41">
        <f>Q4-R4</f>
        <v/>
      </c>
      <c r="V4" s="41">
        <f>IF(B4=1,"Auto-fill G1 seulement","Prendre selon stock/cible")</f>
        <v/>
      </c>
    </row>
    <row r="5">
      <c r="A5" s="8" t="inlineStr">
        <is>
          <t>Amande-Rousse</t>
        </is>
      </c>
      <c r="B5" s="9" t="n">
        <v>2</v>
      </c>
      <c r="C5" s="28">
        <f>Stock!C5</f>
        <v/>
      </c>
      <c r="D5" s="28">
        <f>Stock!D5</f>
        <v/>
      </c>
      <c r="E5" s="11">
        <f>SUMIF(Selection_auto!$C$2:$C$20,A5,Selection_auto!$N$2:$N$20)+SUMIF(Selection_auto!$D$2:$D$20,A5,Selection_auto!$P$2:$P$20)</f>
        <v/>
      </c>
      <c r="F5" s="11">
        <f>SUMIF(Selection_auto!$C$2:$C$20,A5,Selection_auto!$O$2:$O$20)+SUMIF(Selection_auto!$D$2:$D$20,A5,Selection_auto!$Q$2:$Q$20)</f>
        <v/>
      </c>
      <c r="G5" s="27">
        <f>0</f>
        <v/>
      </c>
      <c r="H5" s="27">
        <f>0</f>
        <v/>
      </c>
      <c r="I5" s="11">
        <f>E5+G5</f>
        <v/>
      </c>
      <c r="J5" s="11">
        <f>F5+H5</f>
        <v/>
      </c>
      <c r="K5" s="11">
        <f>I5+J5</f>
        <v/>
      </c>
      <c r="L5" s="34">
        <f>IFERROR(VLOOKUP(A5,Ratios_G10!$A$2:$D$22,4,FALSE),0)</f>
        <v/>
      </c>
      <c r="M5" s="34">
        <f>IF($K$25=0,0,K5/$K$25)</f>
        <v/>
      </c>
      <c r="N5" s="34">
        <f>M5-L5</f>
        <v/>
      </c>
      <c r="O5" s="35">
        <f>ROUND(L5*($K$25/2),0)</f>
        <v/>
      </c>
      <c r="P5" s="36">
        <f>(K5/2)-O5</f>
        <v/>
      </c>
      <c r="Q5" s="41">
        <f>MIN(C5,D5)</f>
        <v/>
      </c>
      <c r="R5" s="41">
        <f>ROUND(IFERROR(VLOOKUP(A5,Ratios_G10!$A$2:$F$22,4,FALSE),0)*125,0)</f>
        <v/>
      </c>
      <c r="S5" s="41">
        <f>IF(B5=1,0,MIN(Q5,R5))</f>
        <v/>
      </c>
      <c r="T5" s="41">
        <f>S5*2</f>
        <v/>
      </c>
      <c r="U5" s="41">
        <f>Q5-R5</f>
        <v/>
      </c>
      <c r="V5" s="41">
        <f>IF(B5=1,"Auto-fill G1 seulement","Prendre selon stock/cible")</f>
        <v/>
      </c>
    </row>
    <row r="6">
      <c r="A6" s="8" t="inlineStr">
        <is>
          <t>Amande-Doré</t>
        </is>
      </c>
      <c r="B6" s="9" t="n">
        <v>2</v>
      </c>
      <c r="C6" s="28">
        <f>Stock!C6</f>
        <v/>
      </c>
      <c r="D6" s="28">
        <f>Stock!D6</f>
        <v/>
      </c>
      <c r="E6" s="11">
        <f>SUMIF(Selection_auto!$C$2:$C$20,A6,Selection_auto!$N$2:$N$20)+SUMIF(Selection_auto!$D$2:$D$20,A6,Selection_auto!$P$2:$P$20)</f>
        <v/>
      </c>
      <c r="F6" s="11">
        <f>SUMIF(Selection_auto!$C$2:$C$20,A6,Selection_auto!$O$2:$O$20)+SUMIF(Selection_auto!$D$2:$D$20,A6,Selection_auto!$Q$2:$Q$20)</f>
        <v/>
      </c>
      <c r="G6" s="27">
        <f>0</f>
        <v/>
      </c>
      <c r="H6" s="27">
        <f>0</f>
        <v/>
      </c>
      <c r="I6" s="11">
        <f>E6+G6</f>
        <v/>
      </c>
      <c r="J6" s="11">
        <f>F6+H6</f>
        <v/>
      </c>
      <c r="K6" s="11">
        <f>I6+J6</f>
        <v/>
      </c>
      <c r="L6" s="34">
        <f>IFERROR(VLOOKUP(A6,Ratios_G10!$A$2:$D$22,4,FALSE),0)</f>
        <v/>
      </c>
      <c r="M6" s="34">
        <f>IF($K$25=0,0,K6/$K$25)</f>
        <v/>
      </c>
      <c r="N6" s="34">
        <f>M6-L6</f>
        <v/>
      </c>
      <c r="O6" s="35">
        <f>ROUND(L6*($K$25/2),0)</f>
        <v/>
      </c>
      <c r="P6" s="36">
        <f>(K6/2)-O6</f>
        <v/>
      </c>
      <c r="Q6" s="41">
        <f>MIN(C6,D6)</f>
        <v/>
      </c>
      <c r="R6" s="41">
        <f>ROUND(IFERROR(VLOOKUP(A6,Ratios_G10!$A$2:$F$22,4,FALSE),0)*125,0)</f>
        <v/>
      </c>
      <c r="S6" s="41">
        <f>IF(B6=1,0,MIN(Q6,R6))</f>
        <v/>
      </c>
      <c r="T6" s="41">
        <f>S6*2</f>
        <v/>
      </c>
      <c r="U6" s="41">
        <f>Q6-R6</f>
        <v/>
      </c>
      <c r="V6" s="41">
        <f>IF(B6=1,"Auto-fill G1 seulement","Prendre selon stock/cible")</f>
        <v/>
      </c>
    </row>
    <row r="7">
      <c r="A7" s="8" t="inlineStr">
        <is>
          <t>Doré-Rousse</t>
        </is>
      </c>
      <c r="B7" s="9" t="n">
        <v>2</v>
      </c>
      <c r="C7" s="28">
        <f>Stock!C7</f>
        <v/>
      </c>
      <c r="D7" s="28">
        <f>Stock!D7</f>
        <v/>
      </c>
      <c r="E7" s="11">
        <f>SUMIF(Selection_auto!$C$2:$C$20,A7,Selection_auto!$N$2:$N$20)+SUMIF(Selection_auto!$D$2:$D$20,A7,Selection_auto!$P$2:$P$20)</f>
        <v/>
      </c>
      <c r="F7" s="11">
        <f>SUMIF(Selection_auto!$C$2:$C$20,A7,Selection_auto!$O$2:$O$20)+SUMIF(Selection_auto!$D$2:$D$20,A7,Selection_auto!$Q$2:$Q$20)</f>
        <v/>
      </c>
      <c r="G7" s="27">
        <f>0</f>
        <v/>
      </c>
      <c r="H7" s="27">
        <f>0</f>
        <v/>
      </c>
      <c r="I7" s="11">
        <f>E7+G7</f>
        <v/>
      </c>
      <c r="J7" s="11">
        <f>F7+H7</f>
        <v/>
      </c>
      <c r="K7" s="11">
        <f>I7+J7</f>
        <v/>
      </c>
      <c r="L7" s="34">
        <f>IFERROR(VLOOKUP(A7,Ratios_G10!$A$2:$D$22,4,FALSE),0)</f>
        <v/>
      </c>
      <c r="M7" s="34">
        <f>IF($K$25=0,0,K7/$K$25)</f>
        <v/>
      </c>
      <c r="N7" s="34">
        <f>M7-L7</f>
        <v/>
      </c>
      <c r="O7" s="35">
        <f>ROUND(L7*($K$25/2),0)</f>
        <v/>
      </c>
      <c r="P7" s="36">
        <f>(K7/2)-O7</f>
        <v/>
      </c>
      <c r="Q7" s="41">
        <f>MIN(C7,D7)</f>
        <v/>
      </c>
      <c r="R7" s="41">
        <f>ROUND(IFERROR(VLOOKUP(A7,Ratios_G10!$A$2:$F$22,4,FALSE),0)*125,0)</f>
        <v/>
      </c>
      <c r="S7" s="41">
        <f>IF(B7=1,0,MIN(Q7,R7))</f>
        <v/>
      </c>
      <c r="T7" s="41">
        <f>S7*2</f>
        <v/>
      </c>
      <c r="U7" s="41">
        <f>Q7-R7</f>
        <v/>
      </c>
      <c r="V7" s="41">
        <f>IF(B7=1,"Auto-fill G1 seulement","Prendre selon stock/cible")</f>
        <v/>
      </c>
    </row>
    <row r="8">
      <c r="A8" s="10" t="inlineStr">
        <is>
          <t>Ebène</t>
        </is>
      </c>
      <c r="B8" s="11" t="n">
        <v>3</v>
      </c>
      <c r="C8" s="28">
        <f>Stock!C8</f>
        <v/>
      </c>
      <c r="D8" s="28">
        <f>Stock!D8</f>
        <v/>
      </c>
      <c r="E8" s="11">
        <f>SUMIF(Selection_auto!$C$2:$C$20,A8,Selection_auto!$N$2:$N$20)+SUMIF(Selection_auto!$D$2:$D$20,A8,Selection_auto!$P$2:$P$20)</f>
        <v/>
      </c>
      <c r="F8" s="11">
        <f>SUMIF(Selection_auto!$C$2:$C$20,A8,Selection_auto!$O$2:$O$20)+SUMIF(Selection_auto!$D$2:$D$20,A8,Selection_auto!$Q$2:$Q$20)</f>
        <v/>
      </c>
      <c r="G8" s="27">
        <f>0</f>
        <v/>
      </c>
      <c r="H8" s="27">
        <f>0</f>
        <v/>
      </c>
      <c r="I8" s="11">
        <f>E8+G8</f>
        <v/>
      </c>
      <c r="J8" s="11">
        <f>F8+H8</f>
        <v/>
      </c>
      <c r="K8" s="11">
        <f>I8+J8</f>
        <v/>
      </c>
      <c r="L8" s="34">
        <f>IFERROR(VLOOKUP(A8,Ratios_G10!$A$2:$D$22,4,FALSE),0)</f>
        <v/>
      </c>
      <c r="M8" s="34">
        <f>IF($K$25=0,0,K8/$K$25)</f>
        <v/>
      </c>
      <c r="N8" s="34">
        <f>M8-L8</f>
        <v/>
      </c>
      <c r="O8" s="35">
        <f>ROUND(L8*($K$25/2),0)</f>
        <v/>
      </c>
      <c r="P8" s="36">
        <f>(K8/2)-O8</f>
        <v/>
      </c>
      <c r="Q8" s="41">
        <f>MIN(C8,D8)</f>
        <v/>
      </c>
      <c r="R8" s="41">
        <f>ROUND(IFERROR(VLOOKUP(A8,Ratios_G10!$A$2:$F$22,4,FALSE),0)*125,0)</f>
        <v/>
      </c>
      <c r="S8" s="41">
        <f>IF(B8=1,0,MIN(Q8,R8))</f>
        <v/>
      </c>
      <c r="T8" s="41">
        <f>S8*2</f>
        <v/>
      </c>
      <c r="U8" s="41">
        <f>Q8-R8</f>
        <v/>
      </c>
      <c r="V8" s="41">
        <f>IF(B8=1,"Auto-fill G1 seulement","Prendre selon stock/cible")</f>
        <v/>
      </c>
    </row>
    <row r="9">
      <c r="A9" s="10" t="inlineStr">
        <is>
          <t>Indigo</t>
        </is>
      </c>
      <c r="B9" s="11" t="n">
        <v>3</v>
      </c>
      <c r="C9" s="28">
        <f>Stock!C9</f>
        <v/>
      </c>
      <c r="D9" s="28">
        <f>Stock!D9</f>
        <v/>
      </c>
      <c r="E9" s="11">
        <f>SUMIF(Selection_auto!$C$2:$C$20,A9,Selection_auto!$N$2:$N$20)+SUMIF(Selection_auto!$D$2:$D$20,A9,Selection_auto!$P$2:$P$20)</f>
        <v/>
      </c>
      <c r="F9" s="11">
        <f>SUMIF(Selection_auto!$C$2:$C$20,A9,Selection_auto!$O$2:$O$20)+SUMIF(Selection_auto!$D$2:$D$20,A9,Selection_auto!$Q$2:$Q$20)</f>
        <v/>
      </c>
      <c r="G9" s="27">
        <f>0</f>
        <v/>
      </c>
      <c r="H9" s="27">
        <f>0</f>
        <v/>
      </c>
      <c r="I9" s="11">
        <f>E9+G9</f>
        <v/>
      </c>
      <c r="J9" s="11">
        <f>F9+H9</f>
        <v/>
      </c>
      <c r="K9" s="11">
        <f>I9+J9</f>
        <v/>
      </c>
      <c r="L9" s="34">
        <f>IFERROR(VLOOKUP(A9,Ratios_G10!$A$2:$D$22,4,FALSE),0)</f>
        <v/>
      </c>
      <c r="M9" s="34">
        <f>IF($K$25=0,0,K9/$K$25)</f>
        <v/>
      </c>
      <c r="N9" s="34">
        <f>M9-L9</f>
        <v/>
      </c>
      <c r="O9" s="35">
        <f>ROUND(L9*($K$25/2),0)</f>
        <v/>
      </c>
      <c r="P9" s="36">
        <f>(K9/2)-O9</f>
        <v/>
      </c>
      <c r="Q9" s="41">
        <f>MIN(C9,D9)</f>
        <v/>
      </c>
      <c r="R9" s="41">
        <f>ROUND(IFERROR(VLOOKUP(A9,Ratios_G10!$A$2:$F$22,4,FALSE),0)*125,0)</f>
        <v/>
      </c>
      <c r="S9" s="41">
        <f>IF(B9=1,0,MIN(Q9,R9))</f>
        <v/>
      </c>
      <c r="T9" s="41">
        <f>S9*2</f>
        <v/>
      </c>
      <c r="U9" s="41">
        <f>Q9-R9</f>
        <v/>
      </c>
      <c r="V9" s="41">
        <f>IF(B9=1,"Auto-fill G1 seulement","Prendre selon stock/cible")</f>
        <v/>
      </c>
    </row>
    <row r="10">
      <c r="A10" s="12" t="inlineStr">
        <is>
          <t>Ebène-Indigo</t>
        </is>
      </c>
      <c r="B10" s="13" t="n">
        <v>4</v>
      </c>
      <c r="C10" s="28">
        <f>Stock!C10</f>
        <v/>
      </c>
      <c r="D10" s="28">
        <f>Stock!D10</f>
        <v/>
      </c>
      <c r="E10" s="11">
        <f>SUMIF(Selection_auto!$C$2:$C$20,A10,Selection_auto!$N$2:$N$20)+SUMIF(Selection_auto!$D$2:$D$20,A10,Selection_auto!$P$2:$P$20)</f>
        <v/>
      </c>
      <c r="F10" s="11">
        <f>SUMIF(Selection_auto!$C$2:$C$20,A10,Selection_auto!$O$2:$O$20)+SUMIF(Selection_auto!$D$2:$D$20,A10,Selection_auto!$Q$2:$Q$20)</f>
        <v/>
      </c>
      <c r="G10" s="27">
        <f>0</f>
        <v/>
      </c>
      <c r="H10" s="27">
        <f>0</f>
        <v/>
      </c>
      <c r="I10" s="11">
        <f>E10+G10</f>
        <v/>
      </c>
      <c r="J10" s="11">
        <f>F10+H10</f>
        <v/>
      </c>
      <c r="K10" s="11">
        <f>I10+J10</f>
        <v/>
      </c>
      <c r="L10" s="34">
        <f>IFERROR(VLOOKUP(A10,Ratios_G10!$A$2:$D$22,4,FALSE),0)</f>
        <v/>
      </c>
      <c r="M10" s="34">
        <f>IF($K$25=0,0,K10/$K$25)</f>
        <v/>
      </c>
      <c r="N10" s="34">
        <f>M10-L10</f>
        <v/>
      </c>
      <c r="O10" s="35">
        <f>ROUND(L10*($K$25/2),0)</f>
        <v/>
      </c>
      <c r="P10" s="36">
        <f>(K10/2)-O10</f>
        <v/>
      </c>
      <c r="Q10" s="41">
        <f>MIN(C10,D10)</f>
        <v/>
      </c>
      <c r="R10" s="41">
        <f>ROUND(IFERROR(VLOOKUP(A10,Ratios_G10!$A$2:$F$22,4,FALSE),0)*125,0)</f>
        <v/>
      </c>
      <c r="S10" s="41">
        <f>IF(B10=1,0,MIN(Q10,R10))</f>
        <v/>
      </c>
      <c r="T10" s="41">
        <f>S10*2</f>
        <v/>
      </c>
      <c r="U10" s="41">
        <f>Q10-R10</f>
        <v/>
      </c>
      <c r="V10" s="41">
        <f>IF(B10=1,"Auto-fill G1 seulement","Prendre selon stock/cible")</f>
        <v/>
      </c>
    </row>
    <row r="11">
      <c r="A11" s="14" t="inlineStr">
        <is>
          <t>Pourpre</t>
        </is>
      </c>
      <c r="B11" s="15" t="n">
        <v>5</v>
      </c>
      <c r="C11" s="28">
        <f>Stock!C11</f>
        <v/>
      </c>
      <c r="D11" s="28">
        <f>Stock!D11</f>
        <v/>
      </c>
      <c r="E11" s="11">
        <f>SUMIF(Selection_auto!$C$2:$C$20,A11,Selection_auto!$N$2:$N$20)+SUMIF(Selection_auto!$D$2:$D$20,A11,Selection_auto!$P$2:$P$20)</f>
        <v/>
      </c>
      <c r="F11" s="11">
        <f>SUMIF(Selection_auto!$C$2:$C$20,A11,Selection_auto!$O$2:$O$20)+SUMIF(Selection_auto!$D$2:$D$20,A11,Selection_auto!$Q$2:$Q$20)</f>
        <v/>
      </c>
      <c r="G11" s="27">
        <f>0</f>
        <v/>
      </c>
      <c r="H11" s="27">
        <f>0</f>
        <v/>
      </c>
      <c r="I11" s="11">
        <f>E11+G11</f>
        <v/>
      </c>
      <c r="J11" s="11">
        <f>F11+H11</f>
        <v/>
      </c>
      <c r="K11" s="11">
        <f>I11+J11</f>
        <v/>
      </c>
      <c r="L11" s="34">
        <f>IFERROR(VLOOKUP(A11,Ratios_G10!$A$2:$D$22,4,FALSE),0)</f>
        <v/>
      </c>
      <c r="M11" s="34">
        <f>IF($K$25=0,0,K11/$K$25)</f>
        <v/>
      </c>
      <c r="N11" s="34">
        <f>M11-L11</f>
        <v/>
      </c>
      <c r="O11" s="35">
        <f>ROUND(L11*($K$25/2),0)</f>
        <v/>
      </c>
      <c r="P11" s="36">
        <f>(K11/2)-O11</f>
        <v/>
      </c>
      <c r="Q11" s="41">
        <f>MIN(C11,D11)</f>
        <v/>
      </c>
      <c r="R11" s="41">
        <f>ROUND(IFERROR(VLOOKUP(A11,Ratios_G10!$A$2:$F$22,4,FALSE),0)*125,0)</f>
        <v/>
      </c>
      <c r="S11" s="41">
        <f>IF(B11=1,0,MIN(Q11,R11))</f>
        <v/>
      </c>
      <c r="T11" s="41">
        <f>S11*2</f>
        <v/>
      </c>
      <c r="U11" s="41">
        <f>Q11-R11</f>
        <v/>
      </c>
      <c r="V11" s="41">
        <f>IF(B11=1,"Auto-fill G1 seulement","Prendre selon stock/cible")</f>
        <v/>
      </c>
    </row>
    <row r="12">
      <c r="A12" s="14" t="inlineStr">
        <is>
          <t>Orchidée</t>
        </is>
      </c>
      <c r="B12" s="15" t="n">
        <v>5</v>
      </c>
      <c r="C12" s="28">
        <f>Stock!C12</f>
        <v/>
      </c>
      <c r="D12" s="28">
        <f>Stock!D12</f>
        <v/>
      </c>
      <c r="E12" s="11">
        <f>SUMIF(Selection_auto!$C$2:$C$20,A12,Selection_auto!$N$2:$N$20)+SUMIF(Selection_auto!$D$2:$D$20,A12,Selection_auto!$P$2:$P$20)</f>
        <v/>
      </c>
      <c r="F12" s="11">
        <f>SUMIF(Selection_auto!$C$2:$C$20,A12,Selection_auto!$O$2:$O$20)+SUMIF(Selection_auto!$D$2:$D$20,A12,Selection_auto!$Q$2:$Q$20)</f>
        <v/>
      </c>
      <c r="G12" s="27">
        <f>0</f>
        <v/>
      </c>
      <c r="H12" s="27">
        <f>0</f>
        <v/>
      </c>
      <c r="I12" s="11">
        <f>E12+G12</f>
        <v/>
      </c>
      <c r="J12" s="11">
        <f>F12+H12</f>
        <v/>
      </c>
      <c r="K12" s="11">
        <f>I12+J12</f>
        <v/>
      </c>
      <c r="L12" s="34">
        <f>IFERROR(VLOOKUP(A12,Ratios_G10!$A$2:$D$22,4,FALSE),0)</f>
        <v/>
      </c>
      <c r="M12" s="34">
        <f>IF($K$25=0,0,K12/$K$25)</f>
        <v/>
      </c>
      <c r="N12" s="34">
        <f>M12-L12</f>
        <v/>
      </c>
      <c r="O12" s="35">
        <f>ROUND(L12*($K$25/2),0)</f>
        <v/>
      </c>
      <c r="P12" s="36">
        <f>(K12/2)-O12</f>
        <v/>
      </c>
      <c r="Q12" s="41">
        <f>MIN(C12,D12)</f>
        <v/>
      </c>
      <c r="R12" s="41">
        <f>ROUND(IFERROR(VLOOKUP(A12,Ratios_G10!$A$2:$F$22,4,FALSE),0)*125,0)</f>
        <v/>
      </c>
      <c r="S12" s="41">
        <f>IF(B12=1,0,MIN(Q12,R12))</f>
        <v/>
      </c>
      <c r="T12" s="41">
        <f>S12*2</f>
        <v/>
      </c>
      <c r="U12" s="41">
        <f>Q12-R12</f>
        <v/>
      </c>
      <c r="V12" s="41">
        <f>IF(B12=1,"Auto-fill G1 seulement","Prendre selon stock/cible")</f>
        <v/>
      </c>
    </row>
    <row r="13">
      <c r="A13" s="16" t="inlineStr">
        <is>
          <t>Ebène-Orchidée</t>
        </is>
      </c>
      <c r="B13" s="17" t="n">
        <v>6</v>
      </c>
      <c r="C13" s="28">
        <f>Stock!C13</f>
        <v/>
      </c>
      <c r="D13" s="28">
        <f>Stock!D13</f>
        <v/>
      </c>
      <c r="E13" s="11">
        <f>SUMIF(Selection_auto!$C$2:$C$20,A13,Selection_auto!$N$2:$N$20)+SUMIF(Selection_auto!$D$2:$D$20,A13,Selection_auto!$P$2:$P$20)</f>
        <v/>
      </c>
      <c r="F13" s="11">
        <f>SUMIF(Selection_auto!$C$2:$C$20,A13,Selection_auto!$O$2:$O$20)+SUMIF(Selection_auto!$D$2:$D$20,A13,Selection_auto!$Q$2:$Q$20)</f>
        <v/>
      </c>
      <c r="G13" s="27">
        <f>0</f>
        <v/>
      </c>
      <c r="H13" s="27">
        <f>0</f>
        <v/>
      </c>
      <c r="I13" s="11">
        <f>E13+G13</f>
        <v/>
      </c>
      <c r="J13" s="11">
        <f>F13+H13</f>
        <v/>
      </c>
      <c r="K13" s="11">
        <f>I13+J13</f>
        <v/>
      </c>
      <c r="L13" s="34">
        <f>IFERROR(VLOOKUP(A13,Ratios_G10!$A$2:$D$22,4,FALSE),0)</f>
        <v/>
      </c>
      <c r="M13" s="34">
        <f>IF($K$25=0,0,K13/$K$25)</f>
        <v/>
      </c>
      <c r="N13" s="34">
        <f>M13-L13</f>
        <v/>
      </c>
      <c r="O13" s="35">
        <f>ROUND(L13*($K$25/2),0)</f>
        <v/>
      </c>
      <c r="P13" s="36">
        <f>(K13/2)-O13</f>
        <v/>
      </c>
      <c r="Q13" s="41">
        <f>MIN(C13,D13)</f>
        <v/>
      </c>
      <c r="R13" s="41">
        <f>ROUND(IFERROR(VLOOKUP(A13,Ratios_G10!$A$2:$F$22,4,FALSE),0)*125,0)</f>
        <v/>
      </c>
      <c r="S13" s="41">
        <f>IF(B13=1,0,MIN(Q13,R13))</f>
        <v/>
      </c>
      <c r="T13" s="41">
        <f>S13*2</f>
        <v/>
      </c>
      <c r="U13" s="41">
        <f>Q13-R13</f>
        <v/>
      </c>
      <c r="V13" s="41">
        <f>IF(B13=1,"Auto-fill G1 seulement","Prendre selon stock/cible")</f>
        <v/>
      </c>
    </row>
    <row r="14">
      <c r="A14" s="16" t="inlineStr">
        <is>
          <t>Orchidée-Pourpre</t>
        </is>
      </c>
      <c r="B14" s="17" t="n">
        <v>6</v>
      </c>
      <c r="C14" s="28">
        <f>Stock!C14</f>
        <v/>
      </c>
      <c r="D14" s="28">
        <f>Stock!D14</f>
        <v/>
      </c>
      <c r="E14" s="11">
        <f>SUMIF(Selection_auto!$C$2:$C$20,A14,Selection_auto!$N$2:$N$20)+SUMIF(Selection_auto!$D$2:$D$20,A14,Selection_auto!$P$2:$P$20)</f>
        <v/>
      </c>
      <c r="F14" s="11">
        <f>SUMIF(Selection_auto!$C$2:$C$20,A14,Selection_auto!$O$2:$O$20)+SUMIF(Selection_auto!$D$2:$D$20,A14,Selection_auto!$Q$2:$Q$20)</f>
        <v/>
      </c>
      <c r="G14" s="27">
        <f>0</f>
        <v/>
      </c>
      <c r="H14" s="27">
        <f>0</f>
        <v/>
      </c>
      <c r="I14" s="11">
        <f>E14+G14</f>
        <v/>
      </c>
      <c r="J14" s="11">
        <f>F14+H14</f>
        <v/>
      </c>
      <c r="K14" s="11">
        <f>I14+J14</f>
        <v/>
      </c>
      <c r="L14" s="34">
        <f>IFERROR(VLOOKUP(A14,Ratios_G10!$A$2:$D$22,4,FALSE),0)</f>
        <v/>
      </c>
      <c r="M14" s="34">
        <f>IF($K$25=0,0,K14/$K$25)</f>
        <v/>
      </c>
      <c r="N14" s="34">
        <f>M14-L14</f>
        <v/>
      </c>
      <c r="O14" s="35">
        <f>ROUND(L14*($K$25/2),0)</f>
        <v/>
      </c>
      <c r="P14" s="36">
        <f>(K14/2)-O14</f>
        <v/>
      </c>
      <c r="Q14" s="41">
        <f>MIN(C14,D14)</f>
        <v/>
      </c>
      <c r="R14" s="41">
        <f>ROUND(IFERROR(VLOOKUP(A14,Ratios_G10!$A$2:$F$22,4,FALSE),0)*125,0)</f>
        <v/>
      </c>
      <c r="S14" s="41">
        <f>IF(B14=1,0,MIN(Q14,R14))</f>
        <v/>
      </c>
      <c r="T14" s="41">
        <f>S14*2</f>
        <v/>
      </c>
      <c r="U14" s="41">
        <f>Q14-R14</f>
        <v/>
      </c>
      <c r="V14" s="41">
        <f>IF(B14=1,"Auto-fill G1 seulement","Prendre selon stock/cible")</f>
        <v/>
      </c>
    </row>
    <row r="15">
      <c r="A15" s="16" t="inlineStr">
        <is>
          <t>Indigo-Pourpre</t>
        </is>
      </c>
      <c r="B15" s="17" t="n">
        <v>6</v>
      </c>
      <c r="C15" s="28">
        <f>Stock!C15</f>
        <v/>
      </c>
      <c r="D15" s="28">
        <f>Stock!D15</f>
        <v/>
      </c>
      <c r="E15" s="11">
        <f>SUMIF(Selection_auto!$C$2:$C$20,A15,Selection_auto!$N$2:$N$20)+SUMIF(Selection_auto!$D$2:$D$20,A15,Selection_auto!$P$2:$P$20)</f>
        <v/>
      </c>
      <c r="F15" s="11">
        <f>SUMIF(Selection_auto!$C$2:$C$20,A15,Selection_auto!$O$2:$O$20)+SUMIF(Selection_auto!$D$2:$D$20,A15,Selection_auto!$Q$2:$Q$20)</f>
        <v/>
      </c>
      <c r="G15" s="27">
        <f>0</f>
        <v/>
      </c>
      <c r="H15" s="27">
        <f>0</f>
        <v/>
      </c>
      <c r="I15" s="11">
        <f>E15+G15</f>
        <v/>
      </c>
      <c r="J15" s="11">
        <f>F15+H15</f>
        <v/>
      </c>
      <c r="K15" s="11">
        <f>I15+J15</f>
        <v/>
      </c>
      <c r="L15" s="34">
        <f>IFERROR(VLOOKUP(A15,Ratios_G10!$A$2:$D$22,4,FALSE),0)</f>
        <v/>
      </c>
      <c r="M15" s="34">
        <f>IF($K$25=0,0,K15/$K$25)</f>
        <v/>
      </c>
      <c r="N15" s="34">
        <f>M15-L15</f>
        <v/>
      </c>
      <c r="O15" s="35">
        <f>ROUND(L15*($K$25/2),0)</f>
        <v/>
      </c>
      <c r="P15" s="36">
        <f>(K15/2)-O15</f>
        <v/>
      </c>
      <c r="Q15" s="41">
        <f>MIN(C15,D15)</f>
        <v/>
      </c>
      <c r="R15" s="41">
        <f>ROUND(IFERROR(VLOOKUP(A15,Ratios_G10!$A$2:$F$22,4,FALSE),0)*125,0)</f>
        <v/>
      </c>
      <c r="S15" s="41">
        <f>IF(B15=1,0,MIN(Q15,R15))</f>
        <v/>
      </c>
      <c r="T15" s="41">
        <f>S15*2</f>
        <v/>
      </c>
      <c r="U15" s="41">
        <f>Q15-R15</f>
        <v/>
      </c>
      <c r="V15" s="41">
        <f>IF(B15=1,"Auto-fill G1 seulement","Prendre selon stock/cible")</f>
        <v/>
      </c>
    </row>
    <row r="16">
      <c r="A16" s="18" t="inlineStr">
        <is>
          <t>Turquoise</t>
        </is>
      </c>
      <c r="B16" s="19" t="n">
        <v>7</v>
      </c>
      <c r="C16" s="28">
        <f>Stock!C16</f>
        <v/>
      </c>
      <c r="D16" s="28">
        <f>Stock!D16</f>
        <v/>
      </c>
      <c r="E16" s="11">
        <f>SUMIF(Selection_auto!$C$2:$C$20,A16,Selection_auto!$N$2:$N$20)+SUMIF(Selection_auto!$D$2:$D$20,A16,Selection_auto!$P$2:$P$20)</f>
        <v/>
      </c>
      <c r="F16" s="11">
        <f>SUMIF(Selection_auto!$C$2:$C$20,A16,Selection_auto!$O$2:$O$20)+SUMIF(Selection_auto!$D$2:$D$20,A16,Selection_auto!$Q$2:$Q$20)</f>
        <v/>
      </c>
      <c r="G16" s="27">
        <f>0</f>
        <v/>
      </c>
      <c r="H16" s="27">
        <f>0</f>
        <v/>
      </c>
      <c r="I16" s="11">
        <f>E16+G16</f>
        <v/>
      </c>
      <c r="J16" s="11">
        <f>F16+H16</f>
        <v/>
      </c>
      <c r="K16" s="11">
        <f>I16+J16</f>
        <v/>
      </c>
      <c r="L16" s="34">
        <f>IFERROR(VLOOKUP(A16,Ratios_G10!$A$2:$D$22,4,FALSE),0)</f>
        <v/>
      </c>
      <c r="M16" s="34">
        <f>IF($K$25=0,0,K16/$K$25)</f>
        <v/>
      </c>
      <c r="N16" s="34">
        <f>M16-L16</f>
        <v/>
      </c>
      <c r="O16" s="35">
        <f>ROUND(L16*($K$25/2),0)</f>
        <v/>
      </c>
      <c r="P16" s="36">
        <f>(K16/2)-O16</f>
        <v/>
      </c>
      <c r="Q16" s="41">
        <f>MIN(C16,D16)</f>
        <v/>
      </c>
      <c r="R16" s="41">
        <f>ROUND(IFERROR(VLOOKUP(A16,Ratios_G10!$A$2:$F$22,4,FALSE),0)*125,0)</f>
        <v/>
      </c>
      <c r="S16" s="41">
        <f>IF(B16=1,0,MIN(Q16,R16))</f>
        <v/>
      </c>
      <c r="T16" s="41">
        <f>S16*2</f>
        <v/>
      </c>
      <c r="U16" s="41">
        <f>Q16-R16</f>
        <v/>
      </c>
      <c r="V16" s="41">
        <f>IF(B16=1,"Auto-fill G1 seulement","Prendre selon stock/cible")</f>
        <v/>
      </c>
    </row>
    <row r="17">
      <c r="A17" s="18" t="inlineStr">
        <is>
          <t>Ivoire</t>
        </is>
      </c>
      <c r="B17" s="19" t="n">
        <v>7</v>
      </c>
      <c r="C17" s="28">
        <f>Stock!C17</f>
        <v/>
      </c>
      <c r="D17" s="28">
        <f>Stock!D17</f>
        <v/>
      </c>
      <c r="E17" s="11">
        <f>SUMIF(Selection_auto!$C$2:$C$20,A17,Selection_auto!$N$2:$N$20)+SUMIF(Selection_auto!$D$2:$D$20,A17,Selection_auto!$P$2:$P$20)</f>
        <v/>
      </c>
      <c r="F17" s="11">
        <f>SUMIF(Selection_auto!$C$2:$C$20,A17,Selection_auto!$O$2:$O$20)+SUMIF(Selection_auto!$D$2:$D$20,A17,Selection_auto!$Q$2:$Q$20)</f>
        <v/>
      </c>
      <c r="G17" s="27">
        <f>0</f>
        <v/>
      </c>
      <c r="H17" s="27">
        <f>0</f>
        <v/>
      </c>
      <c r="I17" s="11">
        <f>E17+G17</f>
        <v/>
      </c>
      <c r="J17" s="11">
        <f>F17+H17</f>
        <v/>
      </c>
      <c r="K17" s="11">
        <f>I17+J17</f>
        <v/>
      </c>
      <c r="L17" s="34">
        <f>IFERROR(VLOOKUP(A17,Ratios_G10!$A$2:$D$22,4,FALSE),0)</f>
        <v/>
      </c>
      <c r="M17" s="34">
        <f>IF($K$25=0,0,K17/$K$25)</f>
        <v/>
      </c>
      <c r="N17" s="34">
        <f>M17-L17</f>
        <v/>
      </c>
      <c r="O17" s="35">
        <f>ROUND(L17*($K$25/2),0)</f>
        <v/>
      </c>
      <c r="P17" s="36">
        <f>(K17/2)-O17</f>
        <v/>
      </c>
      <c r="Q17" s="41">
        <f>MIN(C17,D17)</f>
        <v/>
      </c>
      <c r="R17" s="41">
        <f>ROUND(IFERROR(VLOOKUP(A17,Ratios_G10!$A$2:$F$22,4,FALSE),0)*125,0)</f>
        <v/>
      </c>
      <c r="S17" s="41">
        <f>IF(B17=1,0,MIN(Q17,R17))</f>
        <v/>
      </c>
      <c r="T17" s="41">
        <f>S17*2</f>
        <v/>
      </c>
      <c r="U17" s="41">
        <f>Q17-R17</f>
        <v/>
      </c>
      <c r="V17" s="41">
        <f>IF(B17=1,"Auto-fill G1 seulement","Prendre selon stock/cible")</f>
        <v/>
      </c>
    </row>
    <row r="18">
      <c r="A18" s="20" t="inlineStr">
        <is>
          <t>Ivoire-Turquoise</t>
        </is>
      </c>
      <c r="B18" s="21" t="n">
        <v>8</v>
      </c>
      <c r="C18" s="28">
        <f>Stock!C18</f>
        <v/>
      </c>
      <c r="D18" s="28">
        <f>Stock!D18</f>
        <v/>
      </c>
      <c r="E18" s="11">
        <f>SUMIF(Selection_auto!$C$2:$C$20,A18,Selection_auto!$N$2:$N$20)+SUMIF(Selection_auto!$D$2:$D$20,A18,Selection_auto!$P$2:$P$20)</f>
        <v/>
      </c>
      <c r="F18" s="11">
        <f>SUMIF(Selection_auto!$C$2:$C$20,A18,Selection_auto!$O$2:$O$20)+SUMIF(Selection_auto!$D$2:$D$20,A18,Selection_auto!$Q$2:$Q$20)</f>
        <v/>
      </c>
      <c r="G18" s="27">
        <f>0</f>
        <v/>
      </c>
      <c r="H18" s="27">
        <f>0</f>
        <v/>
      </c>
      <c r="I18" s="11">
        <f>E18+G18</f>
        <v/>
      </c>
      <c r="J18" s="11">
        <f>F18+H18</f>
        <v/>
      </c>
      <c r="K18" s="11">
        <f>I18+J18</f>
        <v/>
      </c>
      <c r="L18" s="34">
        <f>IFERROR(VLOOKUP(A18,Ratios_G10!$A$2:$D$22,4,FALSE),0)</f>
        <v/>
      </c>
      <c r="M18" s="34">
        <f>IF($K$25=0,0,K18/$K$25)</f>
        <v/>
      </c>
      <c r="N18" s="34">
        <f>M18-L18</f>
        <v/>
      </c>
      <c r="O18" s="35">
        <f>ROUND(L18*($K$25/2),0)</f>
        <v/>
      </c>
      <c r="P18" s="36">
        <f>(K18/2)-O18</f>
        <v/>
      </c>
      <c r="Q18" s="41">
        <f>MIN(C18,D18)</f>
        <v/>
      </c>
      <c r="R18" s="41">
        <f>ROUND(IFERROR(VLOOKUP(A18,Ratios_G10!$A$2:$F$22,4,FALSE),0)*125,0)</f>
        <v/>
      </c>
      <c r="S18" s="41">
        <f>IF(B18=1,0,MIN(Q18,R18))</f>
        <v/>
      </c>
      <c r="T18" s="41">
        <f>S18*2</f>
        <v/>
      </c>
      <c r="U18" s="41">
        <f>Q18-R18</f>
        <v/>
      </c>
      <c r="V18" s="41">
        <f>IF(B18=1,"Auto-fill G1 seulement","Prendre selon stock/cible")</f>
        <v/>
      </c>
    </row>
    <row r="19">
      <c r="A19" s="20" t="inlineStr">
        <is>
          <t>Ivoire-Pourpre</t>
        </is>
      </c>
      <c r="B19" s="21" t="n">
        <v>8</v>
      </c>
      <c r="C19" s="28">
        <f>Stock!C19</f>
        <v/>
      </c>
      <c r="D19" s="28">
        <f>Stock!D19</f>
        <v/>
      </c>
      <c r="E19" s="11">
        <f>SUMIF(Selection_auto!$C$2:$C$20,A19,Selection_auto!$N$2:$N$20)+SUMIF(Selection_auto!$D$2:$D$20,A19,Selection_auto!$P$2:$P$20)</f>
        <v/>
      </c>
      <c r="F19" s="11">
        <f>SUMIF(Selection_auto!$C$2:$C$20,A19,Selection_auto!$O$2:$O$20)+SUMIF(Selection_auto!$D$2:$D$20,A19,Selection_auto!$Q$2:$Q$20)</f>
        <v/>
      </c>
      <c r="G19" s="27">
        <f>0</f>
        <v/>
      </c>
      <c r="H19" s="27">
        <f>0</f>
        <v/>
      </c>
      <c r="I19" s="11">
        <f>E19+G19</f>
        <v/>
      </c>
      <c r="J19" s="11">
        <f>F19+H19</f>
        <v/>
      </c>
      <c r="K19" s="11">
        <f>I19+J19</f>
        <v/>
      </c>
      <c r="L19" s="34">
        <f>IFERROR(VLOOKUP(A19,Ratios_G10!$A$2:$D$22,4,FALSE),0)</f>
        <v/>
      </c>
      <c r="M19" s="34">
        <f>IF($K$25=0,0,K19/$K$25)</f>
        <v/>
      </c>
      <c r="N19" s="34">
        <f>M19-L19</f>
        <v/>
      </c>
      <c r="O19" s="35">
        <f>ROUND(L19*($K$25/2),0)</f>
        <v/>
      </c>
      <c r="P19" s="36">
        <f>(K19/2)-O19</f>
        <v/>
      </c>
      <c r="Q19" s="41">
        <f>MIN(C19,D19)</f>
        <v/>
      </c>
      <c r="R19" s="41">
        <f>ROUND(IFERROR(VLOOKUP(A19,Ratios_G10!$A$2:$F$22,4,FALSE),0)*125,0)</f>
        <v/>
      </c>
      <c r="S19" s="41">
        <f>IF(B19=1,0,MIN(Q19,R19))</f>
        <v/>
      </c>
      <c r="T19" s="41">
        <f>S19*2</f>
        <v/>
      </c>
      <c r="U19" s="41">
        <f>Q19-R19</f>
        <v/>
      </c>
      <c r="V19" s="41">
        <f>IF(B19=1,"Auto-fill G1 seulement","Prendre selon stock/cible")</f>
        <v/>
      </c>
    </row>
    <row r="20">
      <c r="A20" s="20" t="inlineStr">
        <is>
          <t>Turquoise-Orchidée</t>
        </is>
      </c>
      <c r="B20" s="21" t="n">
        <v>8</v>
      </c>
      <c r="C20" s="28">
        <f>Stock!C20</f>
        <v/>
      </c>
      <c r="D20" s="28">
        <f>Stock!D20</f>
        <v/>
      </c>
      <c r="E20" s="11">
        <f>SUMIF(Selection_auto!$C$2:$C$20,A20,Selection_auto!$N$2:$N$20)+SUMIF(Selection_auto!$D$2:$D$20,A20,Selection_auto!$P$2:$P$20)</f>
        <v/>
      </c>
      <c r="F20" s="11">
        <f>SUMIF(Selection_auto!$C$2:$C$20,A20,Selection_auto!$O$2:$O$20)+SUMIF(Selection_auto!$D$2:$D$20,A20,Selection_auto!$Q$2:$Q$20)</f>
        <v/>
      </c>
      <c r="G20" s="27">
        <f>0</f>
        <v/>
      </c>
      <c r="H20" s="27">
        <f>0</f>
        <v/>
      </c>
      <c r="I20" s="11">
        <f>E20+G20</f>
        <v/>
      </c>
      <c r="J20" s="11">
        <f>F20+H20</f>
        <v/>
      </c>
      <c r="K20" s="11">
        <f>I20+J20</f>
        <v/>
      </c>
      <c r="L20" s="34">
        <f>IFERROR(VLOOKUP(A20,Ratios_G10!$A$2:$D$22,4,FALSE),0)</f>
        <v/>
      </c>
      <c r="M20" s="34">
        <f>IF($K$25=0,0,K20/$K$25)</f>
        <v/>
      </c>
      <c r="N20" s="34">
        <f>M20-L20</f>
        <v/>
      </c>
      <c r="O20" s="35">
        <f>ROUND(L20*($K$25/2),0)</f>
        <v/>
      </c>
      <c r="P20" s="36">
        <f>(K20/2)-O20</f>
        <v/>
      </c>
      <c r="Q20" s="41">
        <f>MIN(C20,D20)</f>
        <v/>
      </c>
      <c r="R20" s="41">
        <f>ROUND(IFERROR(VLOOKUP(A20,Ratios_G10!$A$2:$F$22,4,FALSE),0)*125,0)</f>
        <v/>
      </c>
      <c r="S20" s="41">
        <f>IF(B20=1,0,MIN(Q20,R20))</f>
        <v/>
      </c>
      <c r="T20" s="41">
        <f>S20*2</f>
        <v/>
      </c>
      <c r="U20" s="41">
        <f>Q20-R20</f>
        <v/>
      </c>
      <c r="V20" s="41">
        <f>IF(B20=1,"Auto-fill G1 seulement","Prendre selon stock/cible")</f>
        <v/>
      </c>
    </row>
    <row r="21">
      <c r="A21" s="22" t="inlineStr">
        <is>
          <t>Prune</t>
        </is>
      </c>
      <c r="B21" s="23" t="n">
        <v>9</v>
      </c>
      <c r="C21" s="28">
        <f>Stock!C21</f>
        <v/>
      </c>
      <c r="D21" s="28">
        <f>Stock!D21</f>
        <v/>
      </c>
      <c r="E21" s="11">
        <f>SUMIF(Selection_auto!$C$2:$C$20,A21,Selection_auto!$N$2:$N$20)+SUMIF(Selection_auto!$D$2:$D$20,A21,Selection_auto!$P$2:$P$20)</f>
        <v/>
      </c>
      <c r="F21" s="11">
        <f>SUMIF(Selection_auto!$C$2:$C$20,A21,Selection_auto!$O$2:$O$20)+SUMIF(Selection_auto!$D$2:$D$20,A21,Selection_auto!$Q$2:$Q$20)</f>
        <v/>
      </c>
      <c r="G21" s="27">
        <f>0</f>
        <v/>
      </c>
      <c r="H21" s="27">
        <f>0</f>
        <v/>
      </c>
      <c r="I21" s="11">
        <f>E21+G21</f>
        <v/>
      </c>
      <c r="J21" s="11">
        <f>F21+H21</f>
        <v/>
      </c>
      <c r="K21" s="11">
        <f>I21+J21</f>
        <v/>
      </c>
      <c r="L21" s="34">
        <f>IFERROR(VLOOKUP(A21,Ratios_G10!$A$2:$D$22,4,FALSE),0)</f>
        <v/>
      </c>
      <c r="M21" s="34">
        <f>IF($K$25=0,0,K21/$K$25)</f>
        <v/>
      </c>
      <c r="N21" s="34">
        <f>M21-L21</f>
        <v/>
      </c>
      <c r="O21" s="35">
        <f>ROUND(L21*($K$25/2),0)</f>
        <v/>
      </c>
      <c r="P21" s="36">
        <f>(K21/2)-O21</f>
        <v/>
      </c>
      <c r="Q21" s="41">
        <f>MIN(C21,D21)</f>
        <v/>
      </c>
      <c r="R21" s="41">
        <f>ROUND(IFERROR(VLOOKUP(A21,Ratios_G10!$A$2:$F$22,4,FALSE),0)*125,0)</f>
        <v/>
      </c>
      <c r="S21" s="41">
        <f>IF(B21=1,0,MIN(Q21,R21))</f>
        <v/>
      </c>
      <c r="T21" s="41">
        <f>S21*2</f>
        <v/>
      </c>
      <c r="U21" s="41">
        <f>Q21-R21</f>
        <v/>
      </c>
      <c r="V21" s="41">
        <f>IF(B21=1,"Auto-fill G1 seulement","Prendre selon stock/cible")</f>
        <v/>
      </c>
    </row>
    <row r="22">
      <c r="A22" s="22" t="inlineStr">
        <is>
          <t>Emeraude</t>
        </is>
      </c>
      <c r="B22" s="23" t="n">
        <v>9</v>
      </c>
      <c r="C22" s="28">
        <f>Stock!C22</f>
        <v/>
      </c>
      <c r="D22" s="28">
        <f>Stock!D22</f>
        <v/>
      </c>
      <c r="E22" s="11">
        <f>SUMIF(Selection_auto!$C$2:$C$20,A22,Selection_auto!$N$2:$N$20)+SUMIF(Selection_auto!$D$2:$D$20,A22,Selection_auto!$P$2:$P$20)</f>
        <v/>
      </c>
      <c r="F22" s="11">
        <f>SUMIF(Selection_auto!$C$2:$C$20,A22,Selection_auto!$O$2:$O$20)+SUMIF(Selection_auto!$D$2:$D$20,A22,Selection_auto!$Q$2:$Q$20)</f>
        <v/>
      </c>
      <c r="G22" s="27">
        <f>0</f>
        <v/>
      </c>
      <c r="H22" s="27">
        <f>0</f>
        <v/>
      </c>
      <c r="I22" s="11">
        <f>E22+G22</f>
        <v/>
      </c>
      <c r="J22" s="11">
        <f>F22+H22</f>
        <v/>
      </c>
      <c r="K22" s="11">
        <f>I22+J22</f>
        <v/>
      </c>
      <c r="L22" s="34">
        <f>IFERROR(VLOOKUP(A22,Ratios_G10!$A$2:$D$22,4,FALSE),0)</f>
        <v/>
      </c>
      <c r="M22" s="34">
        <f>IF($K$25=0,0,K22/$K$25)</f>
        <v/>
      </c>
      <c r="N22" s="34">
        <f>M22-L22</f>
        <v/>
      </c>
      <c r="O22" s="35">
        <f>ROUND(L22*($K$25/2),0)</f>
        <v/>
      </c>
      <c r="P22" s="36">
        <f>(K22/2)-O22</f>
        <v/>
      </c>
      <c r="Q22" s="41">
        <f>MIN(C22,D22)</f>
        <v/>
      </c>
      <c r="R22" s="41">
        <f>ROUND(IFERROR(VLOOKUP(A22,Ratios_G10!$A$2:$F$22,4,FALSE),0)*125,0)</f>
        <v/>
      </c>
      <c r="S22" s="41">
        <f>IF(B22=1,0,MIN(Q22,R22))</f>
        <v/>
      </c>
      <c r="T22" s="41">
        <f>S22*2</f>
        <v/>
      </c>
      <c r="U22" s="41">
        <f>Q22-R22</f>
        <v/>
      </c>
      <c r="V22" s="41">
        <f>IF(B22=1,"Auto-fill G1 seulement","Prendre selon stock/cible")</f>
        <v/>
      </c>
    </row>
    <row r="23">
      <c r="A23" s="24" t="inlineStr">
        <is>
          <t>Prune-Emeraude</t>
        </is>
      </c>
      <c r="B23" s="25" t="n">
        <v>10</v>
      </c>
      <c r="C23" s="28">
        <f>Stock!C23</f>
        <v/>
      </c>
      <c r="D23" s="28">
        <f>Stock!D23</f>
        <v/>
      </c>
      <c r="E23" s="11">
        <f>SUMIF(Selection_auto!$C$2:$C$20,A23,Selection_auto!$N$2:$N$20)+SUMIF(Selection_auto!$D$2:$D$20,A23,Selection_auto!$P$2:$P$20)</f>
        <v/>
      </c>
      <c r="F23" s="11">
        <f>SUMIF(Selection_auto!$C$2:$C$20,A23,Selection_auto!$O$2:$O$20)+SUMIF(Selection_auto!$D$2:$D$20,A23,Selection_auto!$Q$2:$Q$20)</f>
        <v/>
      </c>
      <c r="G23" s="27">
        <f>0</f>
        <v/>
      </c>
      <c r="H23" s="27">
        <f>0</f>
        <v/>
      </c>
      <c r="I23" s="11">
        <f>E23+G23</f>
        <v/>
      </c>
      <c r="J23" s="11">
        <f>F23+H23</f>
        <v/>
      </c>
      <c r="K23" s="11">
        <f>I23+J23</f>
        <v/>
      </c>
      <c r="L23" s="34">
        <f>IFERROR(VLOOKUP(A23,Ratios_G10!$A$2:$D$22,4,FALSE),0)</f>
        <v/>
      </c>
      <c r="M23" s="34">
        <f>IF($K$25=0,0,K23/$K$25)</f>
        <v/>
      </c>
      <c r="N23" s="34">
        <f>M23-L23</f>
        <v/>
      </c>
      <c r="O23" s="35">
        <f>ROUND(L23*($K$25/2),0)</f>
        <v/>
      </c>
      <c r="P23" s="36">
        <f>(K23/2)-O23</f>
        <v/>
      </c>
      <c r="Q23" s="41">
        <f>MIN(C23,D23)</f>
        <v/>
      </c>
      <c r="R23" s="41">
        <f>ROUND(IFERROR(VLOOKUP(A23,Ratios_G10!$A$2:$F$22,4,FALSE),0)*125,0)</f>
        <v/>
      </c>
      <c r="S23" s="41">
        <f>IF(B23=1,0,MIN(Q23,R23))</f>
        <v/>
      </c>
      <c r="T23" s="41">
        <f>S23*2</f>
        <v/>
      </c>
      <c r="U23" s="41">
        <f>Q23-R23</f>
        <v/>
      </c>
      <c r="V23" s="41">
        <f>IF(B23=1,"Auto-fill G1 seulement","Prendre selon stock/cible")</f>
        <v/>
      </c>
    </row>
    <row r="24">
      <c r="L24" s="34">
        <f>IFERROR(VLOOKUP(A24,Ratios_G10!$A$2:$D$22,4,FALSE),0)</f>
        <v/>
      </c>
      <c r="M24" s="34">
        <f>IF($K$25=0,0,K24/$K$25)</f>
        <v/>
      </c>
      <c r="N24" s="34">
        <f>M24-L24</f>
        <v/>
      </c>
      <c r="O24" s="35">
        <f>ROUND(L24*($K$25/2),0)</f>
        <v/>
      </c>
      <c r="P24" s="36">
        <f>(K24/2)-O24</f>
        <v/>
      </c>
      <c r="Q24" s="41">
        <f>MIN(C24,D24)</f>
        <v/>
      </c>
      <c r="R24" s="41">
        <f>ROUND(IFERROR(VLOOKUP(A24,Ratios_G10!$A$2:$F$22,4,FALSE),0)*125,0)</f>
        <v/>
      </c>
      <c r="S24" s="41">
        <f>IF(B24=1,0,MIN(Q24,R24))</f>
        <v/>
      </c>
      <c r="T24" s="41">
        <f>S24*2</f>
        <v/>
      </c>
      <c r="U24" s="41">
        <f>Q24-R24</f>
        <v/>
      </c>
      <c r="V24" s="41">
        <f>IF(B24=1,"Auto-fill G1 seulement","Prendre selon stock/cible")</f>
        <v/>
      </c>
    </row>
    <row r="25">
      <c r="A25" s="29" t="inlineStr">
        <is>
          <t>TOTAL</t>
        </is>
      </c>
      <c r="B25" s="30" t="n"/>
      <c r="C25" s="30" t="n"/>
      <c r="D25" s="30" t="n"/>
      <c r="E25" s="7">
        <f>SUM(E2:E23)</f>
        <v/>
      </c>
      <c r="F25" s="7">
        <f>SUM(F2:F23)</f>
        <v/>
      </c>
      <c r="G25" s="7">
        <f>SUM(G2:G23)</f>
        <v/>
      </c>
      <c r="H25" s="7">
        <f>SUM(H2:H23)</f>
        <v/>
      </c>
      <c r="I25" s="7">
        <f>SUM(I2:I23)</f>
        <v/>
      </c>
      <c r="J25" s="7">
        <f>SUM(J2:J23)</f>
        <v/>
      </c>
      <c r="K25" s="7">
        <f>SUM(K2:K23)</f>
        <v/>
      </c>
      <c r="L25" s="37">
        <f>SUM(L2:L24)</f>
        <v/>
      </c>
      <c r="M25" s="37">
        <f>SUM(M2:M24)</f>
        <v/>
      </c>
      <c r="N25" s="37">
        <f>SUM(N2:N24)</f>
        <v/>
      </c>
      <c r="O25" s="38">
        <f>SUM(O2:O24)</f>
        <v/>
      </c>
      <c r="P25" s="39">
        <f>SUM(P2:P24)</f>
        <v/>
      </c>
      <c r="Q25" s="42">
        <f>SUM(Q2:Q24)</f>
        <v/>
      </c>
      <c r="R25" s="42">
        <f>SUM(R2:R24)</f>
        <v/>
      </c>
      <c r="S25" s="42">
        <f>SUM(S2:S24)</f>
        <v/>
      </c>
      <c r="T25" s="42">
        <f>SUM(T2:T24)</f>
        <v/>
      </c>
      <c r="U25" s="42">
        <f>SUM(U2:U24)</f>
        <v/>
      </c>
      <c r="V25" s="42" t="inlineStr">
        <is>
          <t>Synthèse</t>
        </is>
      </c>
    </row>
    <row r="26"/>
    <row r="27"/>
    <row r="28">
      <c r="A28" s="31" t="inlineStr">
        <is>
          <t>Récap par génération</t>
        </is>
      </c>
    </row>
    <row r="29">
      <c r="A29" s="32" t="inlineStr">
        <is>
          <t>Génération</t>
        </is>
      </c>
      <c r="B29" s="6" t="inlineStr">
        <is>
          <t>Individus à prendre</t>
        </is>
      </c>
      <c r="C29" s="6" t="inlineStr">
        <is>
          <t>Paires</t>
        </is>
      </c>
    </row>
    <row r="30">
      <c r="A30" s="24" t="n">
        <v>10</v>
      </c>
      <c r="B30" s="26">
        <f>SUMIF($B$2:$B$23,A30,$K$2:$K$23)</f>
        <v/>
      </c>
      <c r="C30" s="26">
        <f>B30/2</f>
        <v/>
      </c>
    </row>
    <row r="31">
      <c r="A31" s="22" t="n">
        <v>9</v>
      </c>
      <c r="B31" s="26">
        <f>SUMIF($B$2:$B$23,A31,$K$2:$K$23)</f>
        <v/>
      </c>
      <c r="C31" s="26">
        <f>B31/2</f>
        <v/>
      </c>
    </row>
    <row r="32">
      <c r="A32" s="20" t="n">
        <v>8</v>
      </c>
      <c r="B32" s="26">
        <f>SUMIF($B$2:$B$23,A32,$K$2:$K$23)</f>
        <v/>
      </c>
      <c r="C32" s="26">
        <f>B32/2</f>
        <v/>
      </c>
    </row>
    <row r="33">
      <c r="A33" s="18" t="n">
        <v>7</v>
      </c>
      <c r="B33" s="26">
        <f>SUMIF($B$2:$B$23,A33,$K$2:$K$23)</f>
        <v/>
      </c>
      <c r="C33" s="26">
        <f>B33/2</f>
        <v/>
      </c>
    </row>
    <row r="34">
      <c r="A34" s="16" t="n">
        <v>6</v>
      </c>
      <c r="B34" s="26">
        <f>SUMIF($B$2:$B$23,A34,$K$2:$K$23)</f>
        <v/>
      </c>
      <c r="C34" s="26">
        <f>B34/2</f>
        <v/>
      </c>
    </row>
    <row r="35">
      <c r="A35" s="14" t="n">
        <v>5</v>
      </c>
      <c r="B35" s="26">
        <f>SUMIF($B$2:$B$23,A35,$K$2:$K$23)</f>
        <v/>
      </c>
      <c r="C35" s="26">
        <f>B35/2</f>
        <v/>
      </c>
    </row>
    <row r="36">
      <c r="A36" s="12" t="n">
        <v>4</v>
      </c>
      <c r="B36" s="26">
        <f>SUMIF($B$2:$B$23,A36,$K$2:$K$23)</f>
        <v/>
      </c>
      <c r="C36" s="26">
        <f>B36/2</f>
        <v/>
      </c>
    </row>
    <row r="37">
      <c r="A37" s="10" t="n">
        <v>3</v>
      </c>
      <c r="B37" s="26">
        <f>SUMIF($B$2:$B$23,A37,$K$2:$K$23)</f>
        <v/>
      </c>
      <c r="C37" s="26">
        <f>B37/2</f>
        <v/>
      </c>
    </row>
    <row r="38">
      <c r="A38" s="8" t="n">
        <v>2</v>
      </c>
      <c r="B38" s="26">
        <f>SUMIF($B$2:$B$23,A38,$K$2:$K$23)</f>
        <v/>
      </c>
      <c r="C38" s="26">
        <f>B38/2</f>
        <v/>
      </c>
    </row>
    <row r="39">
      <c r="A39" s="3" t="n">
        <v>1</v>
      </c>
      <c r="B39" s="26">
        <f>SUMIF($B$2:$B$23,A39,$K$2:$K$23)</f>
        <v/>
      </c>
      <c r="C39" s="26">
        <f>B39/2</f>
        <v/>
      </c>
    </row>
    <row r="40"/>
    <row r="41">
      <c r="A41" s="31" t="inlineStr">
        <is>
          <t>Lecture des nouveaux ratios</t>
        </is>
      </c>
    </row>
    <row r="42">
      <c r="A42" s="10" t="inlineStr">
        <is>
          <t>% cible G10</t>
        </is>
      </c>
      <c r="B42" s="33" t="inlineStr">
        <is>
          <t>Part théorique optimale de chaque type si on déplie 1 G10 jusqu'aux intrants.</t>
        </is>
      </c>
    </row>
    <row r="43">
      <c r="A43" s="10" t="inlineStr">
        <is>
          <t>% sélection actuelle</t>
        </is>
      </c>
      <c r="B43" s="33" t="inlineStr">
        <is>
          <t>Part réellement sélectionnée dans ton Tableau_final.</t>
        </is>
      </c>
    </row>
    <row r="44">
      <c r="A44" s="10" t="inlineStr">
        <is>
          <t>Écart vs cible</t>
        </is>
      </c>
      <c r="B44" s="33" t="inlineStr">
        <is>
          <t>Positif = surreprésenté, négatif = sous-représenté par rapport au mix G10 optimal.</t>
        </is>
      </c>
    </row>
    <row r="45"/>
    <row r="46">
      <c r="A46" s="1" t="inlineStr">
        <is>
          <t>Pilotage auto par ratios G10</t>
        </is>
      </c>
    </row>
    <row r="47">
      <c r="A47" s="43" t="inlineStr">
        <is>
          <t>Ce que le fichier fait</t>
        </is>
      </c>
      <c r="B47" s="44" t="inlineStr">
        <is>
          <t>Les G2+ sont pilotés par le ratio G10 mais ne dépassent jamais ton stock.</t>
        </is>
      </c>
    </row>
    <row r="48">
      <c r="A48" s="43" t="inlineStr">
        <is>
          <t>Remplissage auto</t>
        </is>
      </c>
      <c r="B48" s="44" t="inlineStr">
        <is>
          <t>Uniquement les G1, selon le ratio Amande 79 / Doré 79 / Rousse 66.</t>
        </is>
      </c>
    </row>
    <row r="49">
      <c r="A49" s="43" t="inlineStr">
        <is>
          <t>Cap session</t>
        </is>
      </c>
      <c r="B49" s="44" t="inlineStr">
        <is>
          <t>250 individus maximum, soit 125 paires maximum.</t>
        </is>
      </c>
    </row>
    <row r="50">
      <c r="A50" s="43" t="inlineStr">
        <is>
          <t>Lecture conseillée</t>
        </is>
      </c>
      <c r="B50" s="44" t="inlineStr">
        <is>
          <t>Utilise d'abord Tableau_final et Plan_optimal.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0" customWidth="1" min="4" max="4"/>
    <col width="18" customWidth="1" min="5" max="5"/>
    <col width="14" customWidth="1" min="6" max="6"/>
    <col width="24" customWidth="1" min="7" max="7"/>
    <col width="62" customWidth="1" min="10" max="10"/>
  </cols>
  <sheetData>
    <row r="1">
      <c r="A1" s="1" t="inlineStr">
        <is>
          <t>Dragodinde créée</t>
        </is>
      </c>
      <c r="B1" s="1" t="inlineStr">
        <is>
          <t>Gen</t>
        </is>
      </c>
      <c r="C1" s="1" t="inlineStr">
        <is>
          <t>Parent 1</t>
        </is>
      </c>
      <c r="D1" s="1" t="inlineStr">
        <is>
          <t>Parent 2</t>
        </is>
      </c>
      <c r="E1" s="1" t="inlineStr">
        <is>
          <t>Mode retenu</t>
        </is>
      </c>
      <c r="F1" s="1" t="inlineStr">
        <is>
          <t>Paires créées</t>
        </is>
      </c>
      <c r="G1" s="1" t="inlineStr">
        <is>
          <t>Individus parents utilisés</t>
        </is>
      </c>
      <c r="J1" s="1" t="inlineStr">
        <is>
          <t>Notes</t>
        </is>
      </c>
    </row>
    <row r="2">
      <c r="A2" s="24">
        <f>Selection_auto!A2</f>
        <v/>
      </c>
      <c r="B2" s="25">
        <f>Selection_auto!B2</f>
        <v/>
      </c>
      <c r="C2" s="26">
        <f>Selection_auto!C2</f>
        <v/>
      </c>
      <c r="D2" s="26">
        <f>Selection_auto!D2</f>
        <v/>
      </c>
      <c r="E2" s="11">
        <f>Selection_auto!L2</f>
        <v/>
      </c>
      <c r="F2" s="11">
        <f>Selection_auto!M2</f>
        <v/>
      </c>
      <c r="G2" s="11">
        <f>Selection_auto!R2</f>
        <v/>
      </c>
      <c r="J2" s="33" t="inlineStr">
        <is>
          <t>Correction des erreurs 522 : suppression des formules auto-référentes.</t>
        </is>
      </c>
    </row>
    <row r="3">
      <c r="A3" s="22">
        <f>Selection_auto!A3</f>
        <v/>
      </c>
      <c r="B3" s="23">
        <f>Selection_auto!B3</f>
        <v/>
      </c>
      <c r="C3" s="26">
        <f>Selection_auto!C3</f>
        <v/>
      </c>
      <c r="D3" s="26">
        <f>Selection_auto!D3</f>
        <v/>
      </c>
      <c r="E3" s="11">
        <f>Selection_auto!L3</f>
        <v/>
      </c>
      <c r="F3" s="11">
        <f>Selection_auto!M3</f>
        <v/>
      </c>
      <c r="G3" s="11">
        <f>Selection_auto!R3</f>
        <v/>
      </c>
      <c r="J3" s="33" t="inlineStr">
        <is>
          <t>La planification est gloutonne : G10 vers G2.</t>
        </is>
      </c>
    </row>
    <row r="4">
      <c r="A4" s="22">
        <f>Selection_auto!A4</f>
        <v/>
      </c>
      <c r="B4" s="23">
        <f>Selection_auto!B4</f>
        <v/>
      </c>
      <c r="C4" s="26">
        <f>Selection_auto!C4</f>
        <v/>
      </c>
      <c r="D4" s="26">
        <f>Selection_auto!D4</f>
        <v/>
      </c>
      <c r="E4" s="11">
        <f>Selection_auto!L4</f>
        <v/>
      </c>
      <c r="F4" s="11">
        <f>Selection_auto!M4</f>
        <v/>
      </c>
      <c r="G4" s="11">
        <f>Selection_auto!R4</f>
        <v/>
      </c>
      <c r="J4" s="33" t="inlineStr">
        <is>
          <t>Parents partagés comptés une seule fois.</t>
        </is>
      </c>
    </row>
    <row r="5">
      <c r="A5" s="20">
        <f>Selection_auto!A5</f>
        <v/>
      </c>
      <c r="B5" s="21">
        <f>Selection_auto!B5</f>
        <v/>
      </c>
      <c r="C5" s="26">
        <f>Selection_auto!C5</f>
        <v/>
      </c>
      <c r="D5" s="26">
        <f>Selection_auto!D5</f>
        <v/>
      </c>
      <c r="E5" s="11">
        <f>Selection_auto!L5</f>
        <v/>
      </c>
      <c r="F5" s="11">
        <f>Selection_auto!M5</f>
        <v/>
      </c>
      <c r="G5" s="11">
        <f>Selection_auto!R5</f>
        <v/>
      </c>
      <c r="J5" s="33" t="inlineStr">
        <is>
          <t>Le manque jusqu'à 250 individus est complété par Amande / Doré / Rousse.</t>
        </is>
      </c>
    </row>
    <row r="6">
      <c r="A6" s="20">
        <f>Selection_auto!A6</f>
        <v/>
      </c>
      <c r="B6" s="21">
        <f>Selection_auto!B6</f>
        <v/>
      </c>
      <c r="C6" s="26">
        <f>Selection_auto!C6</f>
        <v/>
      </c>
      <c r="D6" s="26">
        <f>Selection_auto!D6</f>
        <v/>
      </c>
      <c r="E6" s="11">
        <f>Selection_auto!L6</f>
        <v/>
      </c>
      <c r="F6" s="11">
        <f>Selection_auto!M6</f>
        <v/>
      </c>
      <c r="G6" s="11">
        <f>Selection_auto!R6</f>
        <v/>
      </c>
    </row>
    <row r="7">
      <c r="A7" s="20">
        <f>Selection_auto!A7</f>
        <v/>
      </c>
      <c r="B7" s="21">
        <f>Selection_auto!B7</f>
        <v/>
      </c>
      <c r="C7" s="26">
        <f>Selection_auto!C7</f>
        <v/>
      </c>
      <c r="D7" s="26">
        <f>Selection_auto!D7</f>
        <v/>
      </c>
      <c r="E7" s="11">
        <f>Selection_auto!L7</f>
        <v/>
      </c>
      <c r="F7" s="11">
        <f>Selection_auto!M7</f>
        <v/>
      </c>
      <c r="G7" s="11">
        <f>Selection_auto!R7</f>
        <v/>
      </c>
    </row>
    <row r="8">
      <c r="A8" s="18">
        <f>Selection_auto!A8</f>
        <v/>
      </c>
      <c r="B8" s="19">
        <f>Selection_auto!B8</f>
        <v/>
      </c>
      <c r="C8" s="26">
        <f>Selection_auto!C8</f>
        <v/>
      </c>
      <c r="D8" s="26">
        <f>Selection_auto!D8</f>
        <v/>
      </c>
      <c r="E8" s="11">
        <f>Selection_auto!L8</f>
        <v/>
      </c>
      <c r="F8" s="11">
        <f>Selection_auto!M8</f>
        <v/>
      </c>
      <c r="G8" s="11">
        <f>Selection_auto!R8</f>
        <v/>
      </c>
    </row>
    <row r="9">
      <c r="A9" s="18">
        <f>Selection_auto!A9</f>
        <v/>
      </c>
      <c r="B9" s="19">
        <f>Selection_auto!B9</f>
        <v/>
      </c>
      <c r="C9" s="26">
        <f>Selection_auto!C9</f>
        <v/>
      </c>
      <c r="D9" s="26">
        <f>Selection_auto!D9</f>
        <v/>
      </c>
      <c r="E9" s="11">
        <f>Selection_auto!L9</f>
        <v/>
      </c>
      <c r="F9" s="11">
        <f>Selection_auto!M9</f>
        <v/>
      </c>
      <c r="G9" s="11">
        <f>Selection_auto!R9</f>
        <v/>
      </c>
    </row>
    <row r="10">
      <c r="A10" s="16">
        <f>Selection_auto!A10</f>
        <v/>
      </c>
      <c r="B10" s="17">
        <f>Selection_auto!B10</f>
        <v/>
      </c>
      <c r="C10" s="26">
        <f>Selection_auto!C10</f>
        <v/>
      </c>
      <c r="D10" s="26">
        <f>Selection_auto!D10</f>
        <v/>
      </c>
      <c r="E10" s="11">
        <f>Selection_auto!L10</f>
        <v/>
      </c>
      <c r="F10" s="11">
        <f>Selection_auto!M10</f>
        <v/>
      </c>
      <c r="G10" s="11">
        <f>Selection_auto!R10</f>
        <v/>
      </c>
    </row>
    <row r="11">
      <c r="A11" s="16">
        <f>Selection_auto!A11</f>
        <v/>
      </c>
      <c r="B11" s="17">
        <f>Selection_auto!B11</f>
        <v/>
      </c>
      <c r="C11" s="26">
        <f>Selection_auto!C11</f>
        <v/>
      </c>
      <c r="D11" s="26">
        <f>Selection_auto!D11</f>
        <v/>
      </c>
      <c r="E11" s="11">
        <f>Selection_auto!L11</f>
        <v/>
      </c>
      <c r="F11" s="11">
        <f>Selection_auto!M11</f>
        <v/>
      </c>
      <c r="G11" s="11">
        <f>Selection_auto!R11</f>
        <v/>
      </c>
    </row>
    <row r="12">
      <c r="A12" s="16">
        <f>Selection_auto!A12</f>
        <v/>
      </c>
      <c r="B12" s="17">
        <f>Selection_auto!B12</f>
        <v/>
      </c>
      <c r="C12" s="26">
        <f>Selection_auto!C12</f>
        <v/>
      </c>
      <c r="D12" s="26">
        <f>Selection_auto!D12</f>
        <v/>
      </c>
      <c r="E12" s="11">
        <f>Selection_auto!L12</f>
        <v/>
      </c>
      <c r="F12" s="11">
        <f>Selection_auto!M12</f>
        <v/>
      </c>
      <c r="G12" s="11">
        <f>Selection_auto!R12</f>
        <v/>
      </c>
    </row>
    <row r="13">
      <c r="A13" s="14">
        <f>Selection_auto!A13</f>
        <v/>
      </c>
      <c r="B13" s="15">
        <f>Selection_auto!B13</f>
        <v/>
      </c>
      <c r="C13" s="26">
        <f>Selection_auto!C13</f>
        <v/>
      </c>
      <c r="D13" s="26">
        <f>Selection_auto!D13</f>
        <v/>
      </c>
      <c r="E13" s="11">
        <f>Selection_auto!L13</f>
        <v/>
      </c>
      <c r="F13" s="11">
        <f>Selection_auto!M13</f>
        <v/>
      </c>
      <c r="G13" s="11">
        <f>Selection_auto!R13</f>
        <v/>
      </c>
    </row>
    <row r="14">
      <c r="A14" s="14">
        <f>Selection_auto!A14</f>
        <v/>
      </c>
      <c r="B14" s="15">
        <f>Selection_auto!B14</f>
        <v/>
      </c>
      <c r="C14" s="26">
        <f>Selection_auto!C14</f>
        <v/>
      </c>
      <c r="D14" s="26">
        <f>Selection_auto!D14</f>
        <v/>
      </c>
      <c r="E14" s="11">
        <f>Selection_auto!L14</f>
        <v/>
      </c>
      <c r="F14" s="11">
        <f>Selection_auto!M14</f>
        <v/>
      </c>
      <c r="G14" s="11">
        <f>Selection_auto!R14</f>
        <v/>
      </c>
    </row>
    <row r="15">
      <c r="A15" s="12">
        <f>Selection_auto!A15</f>
        <v/>
      </c>
      <c r="B15" s="13">
        <f>Selection_auto!B15</f>
        <v/>
      </c>
      <c r="C15" s="26">
        <f>Selection_auto!C15</f>
        <v/>
      </c>
      <c r="D15" s="26">
        <f>Selection_auto!D15</f>
        <v/>
      </c>
      <c r="E15" s="11">
        <f>Selection_auto!L15</f>
        <v/>
      </c>
      <c r="F15" s="11">
        <f>Selection_auto!M15</f>
        <v/>
      </c>
      <c r="G15" s="11">
        <f>Selection_auto!R15</f>
        <v/>
      </c>
    </row>
    <row r="16">
      <c r="A16" s="10">
        <f>Selection_auto!A16</f>
        <v/>
      </c>
      <c r="B16" s="11">
        <f>Selection_auto!B16</f>
        <v/>
      </c>
      <c r="C16" s="26">
        <f>Selection_auto!C16</f>
        <v/>
      </c>
      <c r="D16" s="26">
        <f>Selection_auto!D16</f>
        <v/>
      </c>
      <c r="E16" s="11">
        <f>Selection_auto!L16</f>
        <v/>
      </c>
      <c r="F16" s="11">
        <f>Selection_auto!M16</f>
        <v/>
      </c>
      <c r="G16" s="11">
        <f>Selection_auto!R16</f>
        <v/>
      </c>
    </row>
    <row r="17">
      <c r="A17" s="10">
        <f>Selection_auto!A17</f>
        <v/>
      </c>
      <c r="B17" s="11">
        <f>Selection_auto!B17</f>
        <v/>
      </c>
      <c r="C17" s="26">
        <f>Selection_auto!C17</f>
        <v/>
      </c>
      <c r="D17" s="26">
        <f>Selection_auto!D17</f>
        <v/>
      </c>
      <c r="E17" s="11">
        <f>Selection_auto!L17</f>
        <v/>
      </c>
      <c r="F17" s="11">
        <f>Selection_auto!M17</f>
        <v/>
      </c>
      <c r="G17" s="11">
        <f>Selection_auto!R17</f>
        <v/>
      </c>
    </row>
    <row r="18">
      <c r="A18" s="8">
        <f>Selection_auto!A18</f>
        <v/>
      </c>
      <c r="B18" s="9">
        <f>Selection_auto!B18</f>
        <v/>
      </c>
      <c r="C18" s="26">
        <f>Selection_auto!C18</f>
        <v/>
      </c>
      <c r="D18" s="26">
        <f>Selection_auto!D18</f>
        <v/>
      </c>
      <c r="E18" s="11">
        <f>Selection_auto!L18</f>
        <v/>
      </c>
      <c r="F18" s="11">
        <f>Selection_auto!M18</f>
        <v/>
      </c>
      <c r="G18" s="11">
        <f>Selection_auto!R18</f>
        <v/>
      </c>
    </row>
    <row r="19">
      <c r="A19" s="8">
        <f>Selection_auto!A19</f>
        <v/>
      </c>
      <c r="B19" s="9">
        <f>Selection_auto!B19</f>
        <v/>
      </c>
      <c r="C19" s="26">
        <f>Selection_auto!C19</f>
        <v/>
      </c>
      <c r="D19" s="26">
        <f>Selection_auto!D19</f>
        <v/>
      </c>
      <c r="E19" s="11">
        <f>Selection_auto!L19</f>
        <v/>
      </c>
      <c r="F19" s="11">
        <f>Selection_auto!M19</f>
        <v/>
      </c>
      <c r="G19" s="11">
        <f>Selection_auto!R19</f>
        <v/>
      </c>
    </row>
    <row r="20">
      <c r="A20" s="8">
        <f>Selection_auto!A20</f>
        <v/>
      </c>
      <c r="B20" s="9">
        <f>Selection_auto!B20</f>
        <v/>
      </c>
      <c r="C20" s="26">
        <f>Selection_auto!C20</f>
        <v/>
      </c>
      <c r="D20" s="26">
        <f>Selection_auto!D20</f>
        <v/>
      </c>
      <c r="E20" s="11">
        <f>Selection_auto!L20</f>
        <v/>
      </c>
      <c r="F20" s="11">
        <f>Selection_auto!M20</f>
        <v/>
      </c>
      <c r="G20" s="11">
        <f>Selection_auto!R20</f>
        <v/>
      </c>
    </row>
    <row r="23">
      <c r="A23" s="31" t="inlineStr">
        <is>
          <t>Résumé des créations par génération</t>
        </is>
      </c>
    </row>
    <row r="24">
      <c r="A24" s="32" t="inlineStr">
        <is>
          <t>Génération</t>
        </is>
      </c>
      <c r="B24" s="6" t="inlineStr">
        <is>
          <t>Dragodindes créées</t>
        </is>
      </c>
    </row>
    <row r="25">
      <c r="A25" s="24" t="n">
        <v>10</v>
      </c>
      <c r="B25" s="26">
        <f>SUMIF($B$2:$B$20,A25,$F$2:$F$20)</f>
        <v/>
      </c>
    </row>
    <row r="26">
      <c r="A26" s="22" t="n">
        <v>9</v>
      </c>
      <c r="B26" s="26">
        <f>SUMIF($B$2:$B$20,A26,$F$2:$F$20)</f>
        <v/>
      </c>
    </row>
    <row r="27">
      <c r="A27" s="20" t="n">
        <v>8</v>
      </c>
      <c r="B27" s="26">
        <f>SUMIF($B$2:$B$20,A27,$F$2:$F$20)</f>
        <v/>
      </c>
    </row>
    <row r="28">
      <c r="A28" s="18" t="n">
        <v>7</v>
      </c>
      <c r="B28" s="26">
        <f>SUMIF($B$2:$B$20,A28,$F$2:$F$20)</f>
        <v/>
      </c>
    </row>
    <row r="29">
      <c r="A29" s="16" t="n">
        <v>6</v>
      </c>
      <c r="B29" s="26">
        <f>SUMIF($B$2:$B$20,A29,$F$2:$F$20)</f>
        <v/>
      </c>
    </row>
    <row r="30">
      <c r="A30" s="14" t="n">
        <v>5</v>
      </c>
      <c r="B30" s="26">
        <f>SUMIF($B$2:$B$20,A30,$F$2:$F$20)</f>
        <v/>
      </c>
    </row>
    <row r="31">
      <c r="A31" s="12" t="n">
        <v>4</v>
      </c>
      <c r="B31" s="26">
        <f>SUMIF($B$2:$B$20,A31,$F$2:$F$20)</f>
        <v/>
      </c>
    </row>
    <row r="32">
      <c r="A32" s="10" t="n">
        <v>3</v>
      </c>
      <c r="B32" s="26">
        <f>SUMIF($B$2:$B$20,A32,$F$2:$F$20)</f>
        <v/>
      </c>
    </row>
    <row r="33">
      <c r="A33" s="8" t="n">
        <v>2</v>
      </c>
      <c r="B33" s="26">
        <f>SUMIF($B$2:$B$20,A33,$F$2:$F$20)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Contrôle</t>
        </is>
      </c>
      <c r="B1" s="1" t="inlineStr">
        <is>
          <t>Valeur</t>
        </is>
      </c>
    </row>
    <row r="2">
      <c r="A2" s="10" t="inlineStr">
        <is>
          <t>Individus planifiés depuis croisements</t>
        </is>
      </c>
      <c r="B2" s="17">
        <f>Selection_auto!U2</f>
        <v/>
      </c>
    </row>
    <row r="3">
      <c r="A3" s="10" t="inlineStr">
        <is>
          <t>Paires G1 ajoutées</t>
        </is>
      </c>
      <c r="B3" s="17">
        <f>Selection_auto!V2</f>
        <v/>
      </c>
    </row>
    <row r="4">
      <c r="A4" s="10" t="inlineStr">
        <is>
          <t>Individus ajoutés G1</t>
        </is>
      </c>
      <c r="B4" s="17">
        <f>Selection_auto!V2*2</f>
        <v/>
      </c>
    </row>
    <row r="5">
      <c r="A5" s="10" t="inlineStr">
        <is>
          <t>Total individus à prendre</t>
        </is>
      </c>
      <c r="B5" s="17">
        <f>Tableau_final!K25</f>
        <v/>
      </c>
    </row>
    <row r="6">
      <c r="A6" s="10" t="inlineStr">
        <is>
          <t>Objectif</t>
        </is>
      </c>
      <c r="B6" s="17">
        <f>Stock!G2</f>
        <v/>
      </c>
    </row>
    <row r="7">
      <c r="A7" s="10" t="inlineStr">
        <is>
          <t>Écart</t>
        </is>
      </c>
      <c r="B7" s="33">
        <f>B5-B6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16" customWidth="1" min="4" max="4"/>
    <col width="20" customWidth="1" min="5" max="5"/>
    <col width="22" customWidth="1" min="6" max="6"/>
    <col width="62" customWidth="1" min="8" max="8"/>
  </cols>
  <sheetData>
    <row r="1">
      <c r="A1" s="1" t="inlineStr">
        <is>
          <t>Dragodinde</t>
        </is>
      </c>
      <c r="B1" s="1" t="inlineStr">
        <is>
          <t>Gen</t>
        </is>
      </c>
      <c r="C1" s="1" t="inlineStr">
        <is>
          <t>Occurrences pour 1 G10</t>
        </is>
      </c>
      <c r="D1" s="1" t="inlineStr">
        <is>
          <t>% cible individus</t>
        </is>
      </c>
      <c r="E1" s="1" t="inlineStr">
        <is>
          <t>Paires cibles sur 125</t>
        </is>
      </c>
      <c r="F1" s="1" t="inlineStr">
        <is>
          <t>Individus cibles sur 250</t>
        </is>
      </c>
      <c r="H1" s="1" t="inlineStr">
        <is>
          <t>Méthode</t>
        </is>
      </c>
      <c r="J1" s="1" t="inlineStr">
        <is>
          <t>Règles de sélection</t>
        </is>
      </c>
    </row>
    <row r="2">
      <c r="A2" s="22" t="inlineStr">
        <is>
          <t>Emeraude</t>
        </is>
      </c>
      <c r="B2" s="23" t="n">
        <v>9</v>
      </c>
      <c r="C2" s="11" t="n">
        <v>1</v>
      </c>
      <c r="D2" s="34" t="n">
        <v>0.002242152466367713</v>
      </c>
      <c r="E2" s="11">
        <f>ROUND($D2*125,0)</f>
        <v/>
      </c>
      <c r="F2" s="11">
        <f>ROUND($D2*250,0)</f>
        <v/>
      </c>
      <c r="H2" s="33" t="inlineStr">
        <is>
          <t>Ratios calculés en dépliant 1 Prune-Emeraude jusqu'aux intrants nécessaires.</t>
        </is>
      </c>
      <c r="J2" s="44" t="inlineStr">
        <is>
          <t>1) Maximum 250 individus par session (125 paires).</t>
        </is>
      </c>
    </row>
    <row r="3">
      <c r="A3" s="22" t="inlineStr">
        <is>
          <t>Prune</t>
        </is>
      </c>
      <c r="B3" s="23" t="n">
        <v>9</v>
      </c>
      <c r="C3" s="11" t="n">
        <v>1</v>
      </c>
      <c r="D3" s="34" t="n">
        <v>0.002242152466367713</v>
      </c>
      <c r="E3" s="11">
        <f>ROUND($D3*125,0)</f>
        <v/>
      </c>
      <c r="F3" s="11">
        <f>ROUND($D3*250,0)</f>
        <v/>
      </c>
      <c r="H3" s="33" t="inlineStr">
        <is>
          <t>Cela donne le mix optimal théorique pour accélérer la montée vers G10.</t>
        </is>
      </c>
      <c r="J3" s="44" t="inlineStr">
        <is>
          <t>2) Les ratios G10 pilotent la part idéale du stock utilisé.</t>
        </is>
      </c>
    </row>
    <row r="4">
      <c r="A4" s="20" t="inlineStr">
        <is>
          <t>Ivoire-Pourpre</t>
        </is>
      </c>
      <c r="B4" s="21" t="n">
        <v>8</v>
      </c>
      <c r="C4" s="11" t="n">
        <v>1</v>
      </c>
      <c r="D4" s="34" t="n">
        <v>0.002242152466367713</v>
      </c>
      <c r="E4" s="11">
        <f>ROUND($D4*125,0)</f>
        <v/>
      </c>
      <c r="F4" s="11">
        <f>ROUND($D4*250,0)</f>
        <v/>
      </c>
      <c r="H4" s="33" t="inlineStr">
        <is>
          <t>Le ratio G1 79 / 79 / 66 est inclus dans ce calcul global.</t>
        </is>
      </c>
      <c r="J4" s="44" t="inlineStr">
        <is>
          <t>3) Le remplissage auto ne concerne QUE les G1.</t>
        </is>
      </c>
    </row>
    <row r="5">
      <c r="A5" s="20" t="inlineStr">
        <is>
          <t>Ivoire-Turquoise</t>
        </is>
      </c>
      <c r="B5" s="21" t="n">
        <v>8</v>
      </c>
      <c r="C5" s="11" t="n">
        <v>2</v>
      </c>
      <c r="D5" s="34" t="n">
        <v>0.004484304932735426</v>
      </c>
      <c r="E5" s="11">
        <f>ROUND($D5*125,0)</f>
        <v/>
      </c>
      <c r="F5" s="11">
        <f>ROUND($D5*250,0)</f>
        <v/>
      </c>
      <c r="H5" s="33" t="inlineStr">
        <is>
          <t>Ces % servent de cible de stock / sélection, pas de garantie de résultat RNG.</t>
        </is>
      </c>
      <c r="J5" s="44" t="inlineStr">
        <is>
          <t>4) Les G2+ sont toujours limités au stock réel disponible.</t>
        </is>
      </c>
    </row>
    <row r="6">
      <c r="A6" s="20" t="inlineStr">
        <is>
          <t>Turquoise-Orchidée</t>
        </is>
      </c>
      <c r="B6" s="21" t="n">
        <v>8</v>
      </c>
      <c r="C6" s="11" t="n">
        <v>1</v>
      </c>
      <c r="D6" s="34" t="n">
        <v>0.002242152466367713</v>
      </c>
      <c r="E6" s="11">
        <f>ROUND($D6*125,0)</f>
        <v/>
      </c>
      <c r="F6" s="11">
        <f>ROUND($D6*250,0)</f>
        <v/>
      </c>
    </row>
    <row r="7">
      <c r="A7" s="18" t="inlineStr">
        <is>
          <t>Ivoire</t>
        </is>
      </c>
      <c r="B7" s="19" t="n">
        <v>7</v>
      </c>
      <c r="C7" s="11" t="n">
        <v>3</v>
      </c>
      <c r="D7" s="34" t="n">
        <v>0.006726457399103139</v>
      </c>
      <c r="E7" s="11">
        <f>ROUND($D7*125,0)</f>
        <v/>
      </c>
      <c r="F7" s="11">
        <f>ROUND($D7*250,0)</f>
        <v/>
      </c>
    </row>
    <row r="8">
      <c r="A8" s="18" t="inlineStr">
        <is>
          <t>Turquoise</t>
        </is>
      </c>
      <c r="B8" s="19" t="n">
        <v>7</v>
      </c>
      <c r="C8" s="11" t="n">
        <v>3</v>
      </c>
      <c r="D8" s="34" t="n">
        <v>0.006726457399103139</v>
      </c>
      <c r="E8" s="11">
        <f>ROUND($D8*125,0)</f>
        <v/>
      </c>
      <c r="F8" s="11">
        <f>ROUND($D8*250,0)</f>
        <v/>
      </c>
    </row>
    <row r="9">
      <c r="A9" s="16" t="inlineStr">
        <is>
          <t>Ebène-Orchidée</t>
        </is>
      </c>
      <c r="B9" s="17" t="n">
        <v>6</v>
      </c>
      <c r="C9" s="11" t="n">
        <v>3</v>
      </c>
      <c r="D9" s="34" t="n">
        <v>0.006726457399103139</v>
      </c>
      <c r="E9" s="11">
        <f>ROUND($D9*125,0)</f>
        <v/>
      </c>
      <c r="F9" s="11">
        <f>ROUND($D9*250,0)</f>
        <v/>
      </c>
    </row>
    <row r="10">
      <c r="A10" s="16" t="inlineStr">
        <is>
          <t>Indigo-Pourpre</t>
        </is>
      </c>
      <c r="B10" s="17" t="n">
        <v>6</v>
      </c>
      <c r="C10" s="11" t="n">
        <v>3</v>
      </c>
      <c r="D10" s="34" t="n">
        <v>0.006726457399103139</v>
      </c>
      <c r="E10" s="11">
        <f>ROUND($D10*125,0)</f>
        <v/>
      </c>
      <c r="F10" s="11">
        <f>ROUND($D10*250,0)</f>
        <v/>
      </c>
    </row>
    <row r="11">
      <c r="A11" s="16" t="inlineStr">
        <is>
          <t>Orchidée-Pourpre</t>
        </is>
      </c>
      <c r="B11" s="17" t="n">
        <v>6</v>
      </c>
      <c r="C11" s="11" t="n">
        <v>6</v>
      </c>
      <c r="D11" s="34" t="n">
        <v>0.01345291479820628</v>
      </c>
      <c r="E11" s="11">
        <f>ROUND($D11*125,0)</f>
        <v/>
      </c>
      <c r="F11" s="11">
        <f>ROUND($D11*250,0)</f>
        <v/>
      </c>
    </row>
    <row r="12">
      <c r="A12" s="14" t="inlineStr">
        <is>
          <t>Orchidée</t>
        </is>
      </c>
      <c r="B12" s="15" t="n">
        <v>5</v>
      </c>
      <c r="C12" s="11" t="n">
        <v>10</v>
      </c>
      <c r="D12" s="34" t="n">
        <v>0.02242152466367713</v>
      </c>
      <c r="E12" s="11">
        <f>ROUND($D12*125,0)</f>
        <v/>
      </c>
      <c r="F12" s="11">
        <f>ROUND($D12*250,0)</f>
        <v/>
      </c>
    </row>
    <row r="13">
      <c r="A13" s="14" t="inlineStr">
        <is>
          <t>Pourpre</t>
        </is>
      </c>
      <c r="B13" s="15" t="n">
        <v>5</v>
      </c>
      <c r="C13" s="11" t="n">
        <v>10</v>
      </c>
      <c r="D13" s="34" t="n">
        <v>0.02242152466367713</v>
      </c>
      <c r="E13" s="11">
        <f>ROUND($D13*125,0)</f>
        <v/>
      </c>
      <c r="F13" s="11">
        <f>ROUND($D13*250,0)</f>
        <v/>
      </c>
    </row>
    <row r="14">
      <c r="A14" s="12" t="inlineStr">
        <is>
          <t>Ebène-Indigo</t>
        </is>
      </c>
      <c r="B14" s="13" t="n">
        <v>4</v>
      </c>
      <c r="C14" s="11" t="n">
        <v>20</v>
      </c>
      <c r="D14" s="34" t="n">
        <v>0.04484304932735426</v>
      </c>
      <c r="E14" s="11">
        <f>ROUND($D14*125,0)</f>
        <v/>
      </c>
      <c r="F14" s="11">
        <f>ROUND($D14*250,0)</f>
        <v/>
      </c>
    </row>
    <row r="15">
      <c r="A15" s="10" t="inlineStr">
        <is>
          <t>Ebène</t>
        </is>
      </c>
      <c r="B15" s="11" t="n">
        <v>3</v>
      </c>
      <c r="C15" s="11" t="n">
        <v>23</v>
      </c>
      <c r="D15" s="34" t="n">
        <v>0.0515695067264574</v>
      </c>
      <c r="E15" s="11">
        <f>ROUND($D15*125,0)</f>
        <v/>
      </c>
      <c r="F15" s="11">
        <f>ROUND($D15*250,0)</f>
        <v/>
      </c>
    </row>
    <row r="16">
      <c r="A16" s="10" t="inlineStr">
        <is>
          <t>Indigo</t>
        </is>
      </c>
      <c r="B16" s="11" t="n">
        <v>3</v>
      </c>
      <c r="C16" s="11" t="n">
        <v>23</v>
      </c>
      <c r="D16" s="34" t="n">
        <v>0.0515695067264574</v>
      </c>
      <c r="E16" s="11">
        <f>ROUND($D16*125,0)</f>
        <v/>
      </c>
      <c r="F16" s="11">
        <f>ROUND($D16*250,0)</f>
        <v/>
      </c>
    </row>
    <row r="17">
      <c r="A17" s="8" t="inlineStr">
        <is>
          <t>Amande-Doré</t>
        </is>
      </c>
      <c r="B17" s="9" t="n">
        <v>2</v>
      </c>
      <c r="C17" s="11" t="n">
        <v>46</v>
      </c>
      <c r="D17" s="34" t="n">
        <v>0.1031390134529148</v>
      </c>
      <c r="E17" s="11">
        <f>ROUND($D17*125,0)</f>
        <v/>
      </c>
      <c r="F17" s="11">
        <f>ROUND($D17*250,0)</f>
        <v/>
      </c>
    </row>
    <row r="18">
      <c r="A18" s="8" t="inlineStr">
        <is>
          <t>Amande-Rousse</t>
        </is>
      </c>
      <c r="B18" s="9" t="n">
        <v>2</v>
      </c>
      <c r="C18" s="11" t="n">
        <v>33</v>
      </c>
      <c r="D18" s="34" t="n">
        <v>0.07399103139013453</v>
      </c>
      <c r="E18" s="11">
        <f>ROUND($D18*125,0)</f>
        <v/>
      </c>
      <c r="F18" s="11">
        <f>ROUND($D18*250,0)</f>
        <v/>
      </c>
    </row>
    <row r="19">
      <c r="A19" s="8" t="inlineStr">
        <is>
          <t>Doré-Rousse</t>
        </is>
      </c>
      <c r="B19" s="9" t="n">
        <v>2</v>
      </c>
      <c r="C19" s="11" t="n">
        <v>33</v>
      </c>
      <c r="D19" s="34" t="n">
        <v>0.07399103139013453</v>
      </c>
      <c r="E19" s="11">
        <f>ROUND($D19*125,0)</f>
        <v/>
      </c>
      <c r="F19" s="11">
        <f>ROUND($D19*250,0)</f>
        <v/>
      </c>
    </row>
    <row r="20">
      <c r="A20" s="3" t="inlineStr">
        <is>
          <t>Amande</t>
        </is>
      </c>
      <c r="B20" s="4" t="n">
        <v>1</v>
      </c>
      <c r="C20" s="11" t="n">
        <v>79</v>
      </c>
      <c r="D20" s="34" t="n">
        <v>0.1771300448430493</v>
      </c>
      <c r="E20" s="11">
        <f>ROUND($D20*125,0)</f>
        <v/>
      </c>
      <c r="F20" s="11">
        <f>ROUND($D20*250,0)</f>
        <v/>
      </c>
    </row>
    <row r="21">
      <c r="A21" s="3" t="inlineStr">
        <is>
          <t>Doré</t>
        </is>
      </c>
      <c r="B21" s="4" t="n">
        <v>1</v>
      </c>
      <c r="C21" s="11" t="n">
        <v>79</v>
      </c>
      <c r="D21" s="34" t="n">
        <v>0.1771300448430493</v>
      </c>
      <c r="E21" s="11">
        <f>ROUND($D21*125,0)</f>
        <v/>
      </c>
      <c r="F21" s="11">
        <f>ROUND($D21*250,0)</f>
        <v/>
      </c>
    </row>
    <row r="22">
      <c r="A22" s="3" t="inlineStr">
        <is>
          <t>Rousse</t>
        </is>
      </c>
      <c r="B22" s="4" t="n">
        <v>1</v>
      </c>
      <c r="C22" s="11" t="n">
        <v>66</v>
      </c>
      <c r="D22" s="34" t="n">
        <v>0.1479820627802691</v>
      </c>
      <c r="E22" s="11">
        <f>ROUND($D22*125,0)</f>
        <v/>
      </c>
      <c r="F22" s="11">
        <f>ROUND($D22*250,0)</f>
        <v/>
      </c>
    </row>
    <row r="23">
      <c r="A23" s="29" t="inlineStr">
        <is>
          <t>TOTAL</t>
        </is>
      </c>
      <c r="B23" s="30" t="n"/>
      <c r="C23" s="7" t="n">
        <v>446</v>
      </c>
      <c r="D23" s="7">
        <f>SUM(D2:D22)</f>
        <v/>
      </c>
      <c r="E23" s="7">
        <f>SUM(E2:E22)</f>
        <v/>
      </c>
      <c r="F23" s="7">
        <f>SUM(F2:F22)</f>
        <v/>
      </c>
    </row>
    <row r="24"/>
    <row r="25"/>
    <row r="26">
      <c r="A26" s="31" t="inlineStr">
        <is>
          <t>Récapitulatif par génération</t>
        </is>
      </c>
    </row>
    <row r="27">
      <c r="A27" s="32" t="inlineStr">
        <is>
          <t>Génération</t>
        </is>
      </c>
      <c r="B27" s="6" t="inlineStr">
        <is>
          <t>Occurrences</t>
        </is>
      </c>
      <c r="C27" s="6" t="inlineStr">
        <is>
          <t>% cible</t>
        </is>
      </c>
    </row>
    <row r="28">
      <c r="A28" s="24" t="n">
        <v>10</v>
      </c>
      <c r="B28" s="26" t="n">
        <v>0</v>
      </c>
      <c r="C28" s="40" t="n">
        <v>0</v>
      </c>
    </row>
    <row r="29">
      <c r="A29" s="22" t="n">
        <v>9</v>
      </c>
      <c r="B29" s="26" t="n">
        <v>2</v>
      </c>
      <c r="C29" s="40" t="n">
        <v>0.004484304932735426</v>
      </c>
    </row>
    <row r="30">
      <c r="A30" s="20" t="n">
        <v>8</v>
      </c>
      <c r="B30" s="26" t="n">
        <v>4</v>
      </c>
      <c r="C30" s="40" t="n">
        <v>0.008968609865470852</v>
      </c>
    </row>
    <row r="31">
      <c r="A31" s="18" t="n">
        <v>7</v>
      </c>
      <c r="B31" s="26" t="n">
        <v>6</v>
      </c>
      <c r="C31" s="40" t="n">
        <v>0.01345291479820628</v>
      </c>
    </row>
    <row r="32">
      <c r="A32" s="16" t="n">
        <v>6</v>
      </c>
      <c r="B32" s="26" t="n">
        <v>12</v>
      </c>
      <c r="C32" s="40" t="n">
        <v>0.02690582959641256</v>
      </c>
    </row>
    <row r="33">
      <c r="A33" s="14" t="n">
        <v>5</v>
      </c>
      <c r="B33" s="26" t="n">
        <v>20</v>
      </c>
      <c r="C33" s="40" t="n">
        <v>0.04484304932735426</v>
      </c>
    </row>
    <row r="34">
      <c r="A34" s="12" t="n">
        <v>4</v>
      </c>
      <c r="B34" s="26" t="n">
        <v>20</v>
      </c>
      <c r="C34" s="40" t="n">
        <v>0.04484304932735426</v>
      </c>
    </row>
    <row r="35">
      <c r="A35" s="10" t="n">
        <v>3</v>
      </c>
      <c r="B35" s="26" t="n">
        <v>46</v>
      </c>
      <c r="C35" s="40" t="n">
        <v>0.1031390134529148</v>
      </c>
    </row>
    <row r="36">
      <c r="A36" s="8" t="n">
        <v>2</v>
      </c>
      <c r="B36" s="26" t="n">
        <v>112</v>
      </c>
      <c r="C36" s="40" t="n">
        <v>0.2511210762331839</v>
      </c>
    </row>
    <row r="37">
      <c r="A37" s="3" t="n">
        <v>1</v>
      </c>
      <c r="B37" s="26" t="n">
        <v>224</v>
      </c>
      <c r="C37" s="40" t="n">
        <v>0.5022421524663677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8" customWidth="1" min="4" max="4"/>
    <col width="12" customWidth="1" min="5" max="5"/>
    <col width="14" customWidth="1" min="6" max="6"/>
    <col width="12" customWidth="1" min="7" max="7"/>
    <col width="24" customWidth="1" min="8" max="8"/>
    <col width="18" customWidth="1" min="10" max="10"/>
    <col width="24" customWidth="1" min="11" max="11"/>
  </cols>
  <sheetData>
    <row r="1">
      <c r="A1" s="1" t="inlineStr">
        <is>
          <t>Dragodinde</t>
        </is>
      </c>
      <c r="B1" s="1" t="inlineStr">
        <is>
          <t>Gen</t>
        </is>
      </c>
      <c r="C1" s="1" t="inlineStr">
        <is>
          <t>Mâles à prendre</t>
        </is>
      </c>
      <c r="D1" s="1" t="inlineStr">
        <is>
          <t>Femelles à prendre</t>
        </is>
      </c>
      <c r="E1" s="1" t="inlineStr">
        <is>
          <t>Paires prises</t>
        </is>
      </c>
      <c r="F1" s="1" t="inlineStr">
        <is>
          <t>Source</t>
        </is>
      </c>
      <c r="G1" s="1" t="inlineStr">
        <is>
          <t>% cible G10</t>
        </is>
      </c>
      <c r="H1" s="1" t="inlineStr">
        <is>
          <t>Commentaire</t>
        </is>
      </c>
      <c r="J1" s="1" t="inlineStr">
        <is>
          <t>Contrôles</t>
        </is>
      </c>
    </row>
    <row r="2">
      <c r="A2" s="45">
        <f>Tableau_final!A2</f>
        <v/>
      </c>
      <c r="B2" s="45">
        <f>Tableau_final!B2</f>
        <v/>
      </c>
      <c r="C2" s="41">
        <f>Tableau_final!I2</f>
        <v/>
      </c>
      <c r="D2" s="41">
        <f>Tableau_final!J2</f>
        <v/>
      </c>
      <c r="E2" s="41">
        <f>Tableau_final!K2/2</f>
        <v/>
      </c>
      <c r="F2" s="41">
        <f>IF(B2=1,"Auto-fill G1","Stock réel")</f>
        <v/>
      </c>
      <c r="G2" s="46">
        <f>Tableau_final!L2</f>
        <v/>
      </c>
      <c r="H2" s="41">
        <f>IF(B2=1,"Complément auto G1 uniquement","Limité au stock dispo")</f>
        <v/>
      </c>
      <c r="J2" s="43" t="inlineStr">
        <is>
          <t>Total individus</t>
        </is>
      </c>
      <c r="K2" s="42">
        <f>C26+D26</f>
        <v/>
      </c>
    </row>
    <row r="3">
      <c r="A3" s="45">
        <f>Tableau_final!A3</f>
        <v/>
      </c>
      <c r="B3" s="45">
        <f>Tableau_final!B3</f>
        <v/>
      </c>
      <c r="C3" s="41">
        <f>Tableau_final!I3</f>
        <v/>
      </c>
      <c r="D3" s="41">
        <f>Tableau_final!J3</f>
        <v/>
      </c>
      <c r="E3" s="41">
        <f>Tableau_final!K3/2</f>
        <v/>
      </c>
      <c r="F3" s="41">
        <f>IF(B3=1,"Auto-fill G1","Stock réel")</f>
        <v/>
      </c>
      <c r="G3" s="46">
        <f>Tableau_final!L3</f>
        <v/>
      </c>
      <c r="H3" s="41">
        <f>IF(B3=1,"Complément auto G1 uniquement","Limité au stock dispo")</f>
        <v/>
      </c>
      <c r="J3" s="43" t="inlineStr">
        <is>
          <t>Maximum autorisé</t>
        </is>
      </c>
      <c r="K3" s="42" t="n">
        <v>250</v>
      </c>
    </row>
    <row r="4">
      <c r="A4" s="45">
        <f>Tableau_final!A4</f>
        <v/>
      </c>
      <c r="B4" s="45">
        <f>Tableau_final!B4</f>
        <v/>
      </c>
      <c r="C4" s="41">
        <f>Tableau_final!I4</f>
        <v/>
      </c>
      <c r="D4" s="41">
        <f>Tableau_final!J4</f>
        <v/>
      </c>
      <c r="E4" s="41">
        <f>Tableau_final!K4/2</f>
        <v/>
      </c>
      <c r="F4" s="41">
        <f>IF(B4=1,"Auto-fill G1","Stock réel")</f>
        <v/>
      </c>
      <c r="G4" s="46">
        <f>Tableau_final!L4</f>
        <v/>
      </c>
      <c r="H4" s="41">
        <f>IF(B4=1,"Complément auto G1 uniquement","Limité au stock dispo")</f>
        <v/>
      </c>
      <c r="J4" s="43" t="inlineStr">
        <is>
          <t>Écart</t>
        </is>
      </c>
      <c r="K4" s="42">
        <f>K2-K3</f>
        <v/>
      </c>
    </row>
    <row r="5">
      <c r="A5" s="45">
        <f>Tableau_final!A5</f>
        <v/>
      </c>
      <c r="B5" s="45">
        <f>Tableau_final!B5</f>
        <v/>
      </c>
      <c r="C5" s="41">
        <f>Tableau_final!I5</f>
        <v/>
      </c>
      <c r="D5" s="41">
        <f>Tableau_final!J5</f>
        <v/>
      </c>
      <c r="E5" s="41">
        <f>Tableau_final!K5/2</f>
        <v/>
      </c>
      <c r="F5" s="41">
        <f>IF(B5=1,"Auto-fill G1","Stock réel")</f>
        <v/>
      </c>
      <c r="G5" s="46">
        <f>Tableau_final!L5</f>
        <v/>
      </c>
      <c r="H5" s="41">
        <f>IF(B5=1,"Complément auto G1 uniquement","Limité au stock dispo")</f>
        <v/>
      </c>
      <c r="J5" s="43" t="inlineStr">
        <is>
          <t>Règle</t>
        </is>
      </c>
      <c r="K5" s="44" t="inlineStr">
        <is>
          <t>Le remplissage auto ne s'applique qu'aux G1.</t>
        </is>
      </c>
    </row>
    <row r="6">
      <c r="A6" s="45">
        <f>Tableau_final!A6</f>
        <v/>
      </c>
      <c r="B6" s="45">
        <f>Tableau_final!B6</f>
        <v/>
      </c>
      <c r="C6" s="41">
        <f>Tableau_final!I6</f>
        <v/>
      </c>
      <c r="D6" s="41">
        <f>Tableau_final!J6</f>
        <v/>
      </c>
      <c r="E6" s="41">
        <f>Tableau_final!K6/2</f>
        <v/>
      </c>
      <c r="F6" s="41">
        <f>IF(B6=1,"Auto-fill G1","Stock réel")</f>
        <v/>
      </c>
      <c r="G6" s="46">
        <f>Tableau_final!L6</f>
        <v/>
      </c>
      <c r="H6" s="41">
        <f>IF(B6=1,"Complément auto G1 uniquement","Limité au stock dispo")</f>
        <v/>
      </c>
    </row>
    <row r="7">
      <c r="A7" s="45">
        <f>Tableau_final!A7</f>
        <v/>
      </c>
      <c r="B7" s="45">
        <f>Tableau_final!B7</f>
        <v/>
      </c>
      <c r="C7" s="41">
        <f>Tableau_final!I7</f>
        <v/>
      </c>
      <c r="D7" s="41">
        <f>Tableau_final!J7</f>
        <v/>
      </c>
      <c r="E7" s="41">
        <f>Tableau_final!K7/2</f>
        <v/>
      </c>
      <c r="F7" s="41">
        <f>IF(B7=1,"Auto-fill G1","Stock réel")</f>
        <v/>
      </c>
      <c r="G7" s="46">
        <f>Tableau_final!L7</f>
        <v/>
      </c>
      <c r="H7" s="41">
        <f>IF(B7=1,"Complément auto G1 uniquement","Limité au stock dispo")</f>
        <v/>
      </c>
    </row>
    <row r="8">
      <c r="A8" s="45">
        <f>Tableau_final!A8</f>
        <v/>
      </c>
      <c r="B8" s="45">
        <f>Tableau_final!B8</f>
        <v/>
      </c>
      <c r="C8" s="41">
        <f>Tableau_final!I8</f>
        <v/>
      </c>
      <c r="D8" s="41">
        <f>Tableau_final!J8</f>
        <v/>
      </c>
      <c r="E8" s="41">
        <f>Tableau_final!K8/2</f>
        <v/>
      </c>
      <c r="F8" s="41">
        <f>IF(B8=1,"Auto-fill G1","Stock réel")</f>
        <v/>
      </c>
      <c r="G8" s="46">
        <f>Tableau_final!L8</f>
        <v/>
      </c>
      <c r="H8" s="41">
        <f>IF(B8=1,"Complément auto G1 uniquement","Limité au stock dispo")</f>
        <v/>
      </c>
    </row>
    <row r="9">
      <c r="A9" s="45">
        <f>Tableau_final!A9</f>
        <v/>
      </c>
      <c r="B9" s="45">
        <f>Tableau_final!B9</f>
        <v/>
      </c>
      <c r="C9" s="41">
        <f>Tableau_final!I9</f>
        <v/>
      </c>
      <c r="D9" s="41">
        <f>Tableau_final!J9</f>
        <v/>
      </c>
      <c r="E9" s="41">
        <f>Tableau_final!K9/2</f>
        <v/>
      </c>
      <c r="F9" s="41">
        <f>IF(B9=1,"Auto-fill G1","Stock réel")</f>
        <v/>
      </c>
      <c r="G9" s="46">
        <f>Tableau_final!L9</f>
        <v/>
      </c>
      <c r="H9" s="41">
        <f>IF(B9=1,"Complément auto G1 uniquement","Limité au stock dispo")</f>
        <v/>
      </c>
    </row>
    <row r="10">
      <c r="A10" s="45">
        <f>Tableau_final!A10</f>
        <v/>
      </c>
      <c r="B10" s="45">
        <f>Tableau_final!B10</f>
        <v/>
      </c>
      <c r="C10" s="41">
        <f>Tableau_final!I10</f>
        <v/>
      </c>
      <c r="D10" s="41">
        <f>Tableau_final!J10</f>
        <v/>
      </c>
      <c r="E10" s="41">
        <f>Tableau_final!K10/2</f>
        <v/>
      </c>
      <c r="F10" s="41">
        <f>IF(B10=1,"Auto-fill G1","Stock réel")</f>
        <v/>
      </c>
      <c r="G10" s="46">
        <f>Tableau_final!L10</f>
        <v/>
      </c>
      <c r="H10" s="41">
        <f>IF(B10=1,"Complément auto G1 uniquement","Limité au stock dispo")</f>
        <v/>
      </c>
    </row>
    <row r="11">
      <c r="A11" s="45">
        <f>Tableau_final!A11</f>
        <v/>
      </c>
      <c r="B11" s="45">
        <f>Tableau_final!B11</f>
        <v/>
      </c>
      <c r="C11" s="41">
        <f>Tableau_final!I11</f>
        <v/>
      </c>
      <c r="D11" s="41">
        <f>Tableau_final!J11</f>
        <v/>
      </c>
      <c r="E11" s="41">
        <f>Tableau_final!K11/2</f>
        <v/>
      </c>
      <c r="F11" s="41">
        <f>IF(B11=1,"Auto-fill G1","Stock réel")</f>
        <v/>
      </c>
      <c r="G11" s="46">
        <f>Tableau_final!L11</f>
        <v/>
      </c>
      <c r="H11" s="41">
        <f>IF(B11=1,"Complément auto G1 uniquement","Limité au stock dispo")</f>
        <v/>
      </c>
    </row>
    <row r="12">
      <c r="A12" s="45">
        <f>Tableau_final!A12</f>
        <v/>
      </c>
      <c r="B12" s="45">
        <f>Tableau_final!B12</f>
        <v/>
      </c>
      <c r="C12" s="41">
        <f>Tableau_final!I12</f>
        <v/>
      </c>
      <c r="D12" s="41">
        <f>Tableau_final!J12</f>
        <v/>
      </c>
      <c r="E12" s="41">
        <f>Tableau_final!K12/2</f>
        <v/>
      </c>
      <c r="F12" s="41">
        <f>IF(B12=1,"Auto-fill G1","Stock réel")</f>
        <v/>
      </c>
      <c r="G12" s="46">
        <f>Tableau_final!L12</f>
        <v/>
      </c>
      <c r="H12" s="41">
        <f>IF(B12=1,"Complément auto G1 uniquement","Limité au stock dispo")</f>
        <v/>
      </c>
    </row>
    <row r="13">
      <c r="A13" s="45">
        <f>Tableau_final!A13</f>
        <v/>
      </c>
      <c r="B13" s="45">
        <f>Tableau_final!B13</f>
        <v/>
      </c>
      <c r="C13" s="41">
        <f>Tableau_final!I13</f>
        <v/>
      </c>
      <c r="D13" s="41">
        <f>Tableau_final!J13</f>
        <v/>
      </c>
      <c r="E13" s="41">
        <f>Tableau_final!K13/2</f>
        <v/>
      </c>
      <c r="F13" s="41">
        <f>IF(B13=1,"Auto-fill G1","Stock réel")</f>
        <v/>
      </c>
      <c r="G13" s="46">
        <f>Tableau_final!L13</f>
        <v/>
      </c>
      <c r="H13" s="41">
        <f>IF(B13=1,"Complément auto G1 uniquement","Limité au stock dispo")</f>
        <v/>
      </c>
    </row>
    <row r="14">
      <c r="A14" s="45">
        <f>Tableau_final!A14</f>
        <v/>
      </c>
      <c r="B14" s="45">
        <f>Tableau_final!B14</f>
        <v/>
      </c>
      <c r="C14" s="41">
        <f>Tableau_final!I14</f>
        <v/>
      </c>
      <c r="D14" s="41">
        <f>Tableau_final!J14</f>
        <v/>
      </c>
      <c r="E14" s="41">
        <f>Tableau_final!K14/2</f>
        <v/>
      </c>
      <c r="F14" s="41">
        <f>IF(B14=1,"Auto-fill G1","Stock réel")</f>
        <v/>
      </c>
      <c r="G14" s="46">
        <f>Tableau_final!L14</f>
        <v/>
      </c>
      <c r="H14" s="41">
        <f>IF(B14=1,"Complément auto G1 uniquement","Limité au stock dispo")</f>
        <v/>
      </c>
    </row>
    <row r="15">
      <c r="A15" s="45">
        <f>Tableau_final!A15</f>
        <v/>
      </c>
      <c r="B15" s="45">
        <f>Tableau_final!B15</f>
        <v/>
      </c>
      <c r="C15" s="41">
        <f>Tableau_final!I15</f>
        <v/>
      </c>
      <c r="D15" s="41">
        <f>Tableau_final!J15</f>
        <v/>
      </c>
      <c r="E15" s="41">
        <f>Tableau_final!K15/2</f>
        <v/>
      </c>
      <c r="F15" s="41">
        <f>IF(B15=1,"Auto-fill G1","Stock réel")</f>
        <v/>
      </c>
      <c r="G15" s="46">
        <f>Tableau_final!L15</f>
        <v/>
      </c>
      <c r="H15" s="41">
        <f>IF(B15=1,"Complément auto G1 uniquement","Limité au stock dispo")</f>
        <v/>
      </c>
    </row>
    <row r="16">
      <c r="A16" s="45">
        <f>Tableau_final!A16</f>
        <v/>
      </c>
      <c r="B16" s="45">
        <f>Tableau_final!B16</f>
        <v/>
      </c>
      <c r="C16" s="41">
        <f>Tableau_final!I16</f>
        <v/>
      </c>
      <c r="D16" s="41">
        <f>Tableau_final!J16</f>
        <v/>
      </c>
      <c r="E16" s="41">
        <f>Tableau_final!K16/2</f>
        <v/>
      </c>
      <c r="F16" s="41">
        <f>IF(B16=1,"Auto-fill G1","Stock réel")</f>
        <v/>
      </c>
      <c r="G16" s="46">
        <f>Tableau_final!L16</f>
        <v/>
      </c>
      <c r="H16" s="41">
        <f>IF(B16=1,"Complément auto G1 uniquement","Limité au stock dispo")</f>
        <v/>
      </c>
    </row>
    <row r="17">
      <c r="A17" s="45">
        <f>Tableau_final!A17</f>
        <v/>
      </c>
      <c r="B17" s="45">
        <f>Tableau_final!B17</f>
        <v/>
      </c>
      <c r="C17" s="41">
        <f>Tableau_final!I17</f>
        <v/>
      </c>
      <c r="D17" s="41">
        <f>Tableau_final!J17</f>
        <v/>
      </c>
      <c r="E17" s="41">
        <f>Tableau_final!K17/2</f>
        <v/>
      </c>
      <c r="F17" s="41">
        <f>IF(B17=1,"Auto-fill G1","Stock réel")</f>
        <v/>
      </c>
      <c r="G17" s="46">
        <f>Tableau_final!L17</f>
        <v/>
      </c>
      <c r="H17" s="41">
        <f>IF(B17=1,"Complément auto G1 uniquement","Limité au stock dispo")</f>
        <v/>
      </c>
    </row>
    <row r="18">
      <c r="A18" s="45">
        <f>Tableau_final!A18</f>
        <v/>
      </c>
      <c r="B18" s="45">
        <f>Tableau_final!B18</f>
        <v/>
      </c>
      <c r="C18" s="41">
        <f>Tableau_final!I18</f>
        <v/>
      </c>
      <c r="D18" s="41">
        <f>Tableau_final!J18</f>
        <v/>
      </c>
      <c r="E18" s="41">
        <f>Tableau_final!K18/2</f>
        <v/>
      </c>
      <c r="F18" s="41">
        <f>IF(B18=1,"Auto-fill G1","Stock réel")</f>
        <v/>
      </c>
      <c r="G18" s="46">
        <f>Tableau_final!L18</f>
        <v/>
      </c>
      <c r="H18" s="41">
        <f>IF(B18=1,"Complément auto G1 uniquement","Limité au stock dispo")</f>
        <v/>
      </c>
    </row>
    <row r="19">
      <c r="A19" s="45">
        <f>Tableau_final!A19</f>
        <v/>
      </c>
      <c r="B19" s="45">
        <f>Tableau_final!B19</f>
        <v/>
      </c>
      <c r="C19" s="41">
        <f>Tableau_final!I19</f>
        <v/>
      </c>
      <c r="D19" s="41">
        <f>Tableau_final!J19</f>
        <v/>
      </c>
      <c r="E19" s="41">
        <f>Tableau_final!K19/2</f>
        <v/>
      </c>
      <c r="F19" s="41">
        <f>IF(B19=1,"Auto-fill G1","Stock réel")</f>
        <v/>
      </c>
      <c r="G19" s="46">
        <f>Tableau_final!L19</f>
        <v/>
      </c>
      <c r="H19" s="41">
        <f>IF(B19=1,"Complément auto G1 uniquement","Limité au stock dispo")</f>
        <v/>
      </c>
    </row>
    <row r="20">
      <c r="A20" s="45">
        <f>Tableau_final!A20</f>
        <v/>
      </c>
      <c r="B20" s="45">
        <f>Tableau_final!B20</f>
        <v/>
      </c>
      <c r="C20" s="41">
        <f>Tableau_final!I20</f>
        <v/>
      </c>
      <c r="D20" s="41">
        <f>Tableau_final!J20</f>
        <v/>
      </c>
      <c r="E20" s="41">
        <f>Tableau_final!K20/2</f>
        <v/>
      </c>
      <c r="F20" s="41">
        <f>IF(B20=1,"Auto-fill G1","Stock réel")</f>
        <v/>
      </c>
      <c r="G20" s="46">
        <f>Tableau_final!L20</f>
        <v/>
      </c>
      <c r="H20" s="41">
        <f>IF(B20=1,"Complément auto G1 uniquement","Limité au stock dispo")</f>
        <v/>
      </c>
    </row>
    <row r="21">
      <c r="A21" s="45">
        <f>Tableau_final!A21</f>
        <v/>
      </c>
      <c r="B21" s="45">
        <f>Tableau_final!B21</f>
        <v/>
      </c>
      <c r="C21" s="41">
        <f>Tableau_final!I21</f>
        <v/>
      </c>
      <c r="D21" s="41">
        <f>Tableau_final!J21</f>
        <v/>
      </c>
      <c r="E21" s="41">
        <f>Tableau_final!K21/2</f>
        <v/>
      </c>
      <c r="F21" s="41">
        <f>IF(B21=1,"Auto-fill G1","Stock réel")</f>
        <v/>
      </c>
      <c r="G21" s="46">
        <f>Tableau_final!L21</f>
        <v/>
      </c>
      <c r="H21" s="41">
        <f>IF(B21=1,"Complément auto G1 uniquement","Limité au stock dispo")</f>
        <v/>
      </c>
    </row>
    <row r="22">
      <c r="A22" s="45">
        <f>Tableau_final!A22</f>
        <v/>
      </c>
      <c r="B22" s="45">
        <f>Tableau_final!B22</f>
        <v/>
      </c>
      <c r="C22" s="41">
        <f>Tableau_final!I22</f>
        <v/>
      </c>
      <c r="D22" s="41">
        <f>Tableau_final!J22</f>
        <v/>
      </c>
      <c r="E22" s="41">
        <f>Tableau_final!K22/2</f>
        <v/>
      </c>
      <c r="F22" s="41">
        <f>IF(B22=1,"Auto-fill G1","Stock réel")</f>
        <v/>
      </c>
      <c r="G22" s="46">
        <f>Tableau_final!L22</f>
        <v/>
      </c>
      <c r="H22" s="41">
        <f>IF(B22=1,"Complément auto G1 uniquement","Limité au stock dispo")</f>
        <v/>
      </c>
    </row>
    <row r="23">
      <c r="A23" s="45">
        <f>Tableau_final!A23</f>
        <v/>
      </c>
      <c r="B23" s="45">
        <f>Tableau_final!B23</f>
        <v/>
      </c>
      <c r="C23" s="41">
        <f>Tableau_final!I23</f>
        <v/>
      </c>
      <c r="D23" s="41">
        <f>Tableau_final!J23</f>
        <v/>
      </c>
      <c r="E23" s="41">
        <f>Tableau_final!K23/2</f>
        <v/>
      </c>
      <c r="F23" s="41">
        <f>IF(B23=1,"Auto-fill G1","Stock réel")</f>
        <v/>
      </c>
      <c r="G23" s="46">
        <f>Tableau_final!L23</f>
        <v/>
      </c>
      <c r="H23" s="41">
        <f>IF(B23=1,"Complément auto G1 uniquement","Limité au stock dispo")</f>
        <v/>
      </c>
    </row>
    <row r="24">
      <c r="A24" s="45">
        <f>Tableau_final!A24</f>
        <v/>
      </c>
      <c r="B24" s="45">
        <f>Tableau_final!B24</f>
        <v/>
      </c>
      <c r="C24" s="41">
        <f>Tableau_final!I24</f>
        <v/>
      </c>
      <c r="D24" s="41">
        <f>Tableau_final!J24</f>
        <v/>
      </c>
      <c r="E24" s="41">
        <f>Tableau_final!K24/2</f>
        <v/>
      </c>
      <c r="F24" s="41">
        <f>IF(B24=1,"Auto-fill G1","Stock réel")</f>
        <v/>
      </c>
      <c r="G24" s="46">
        <f>Tableau_final!L24</f>
        <v/>
      </c>
      <c r="H24" s="41">
        <f>IF(B24=1,"Complément auto G1 uniquement","Limité au stock dispo")</f>
        <v/>
      </c>
    </row>
    <row r="25"/>
    <row r="26">
      <c r="A26" s="42" t="inlineStr">
        <is>
          <t>TOTAL</t>
        </is>
      </c>
      <c r="B26" s="42" t="n"/>
      <c r="C26" s="42">
        <f>SUM(C2:C24)</f>
        <v/>
      </c>
      <c r="D26" s="42">
        <f>SUM(D2:D24)</f>
        <v/>
      </c>
      <c r="E26" s="42">
        <f>SUM(E2:E24)</f>
        <v/>
      </c>
      <c r="F26" s="42" t="n"/>
      <c r="G26" s="42" t="n"/>
      <c r="H26" s="4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2026-03-24T20:47:15Z</dcterms:created>
  <dcterms:modified xmlns:dcterms="http://purl.org/dc/terms/" xmlns:xsi="http://www.w3.org/2001/XMLSchema-instance" xsi:type="dcterms:W3CDTF">2026-03-26T17:07:09Z</dcterms:modified>
</cp:coreProperties>
</file>